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ерка" sheetId="1" state="visible" r:id="rId3"/>
    <sheet name="Журнал" sheetId="2" state="visible" r:id="rId4"/>
    <sheet name="Балансы" sheetId="3" state="visible" r:id="rId5"/>
    <sheet name="Платёжный отчёт" sheetId="4" state="visible" r:id="rId6"/>
    <sheet name="data_сверка" sheetId="5" state="visible" r:id="rId7"/>
    <sheet name="data_журнал" sheetId="6" state="visible" r:id="rId8"/>
    <sheet name="data_балансы" sheetId="7" state="visible" r:id="rId9"/>
    <sheet name="data_платежи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<sst xmlns="http://schemas.openxmlformats.org/spreadsheetml/2006/main" count="922" uniqueCount="197">
  <si>
    <t xml:space="preserve">Ежедневная сверка учёта с отчётами PSP</t>
  </si>
  <si>
    <t xml:space="preserve">Сентябрь 2026 · 3 PSP · собственный проект на синтетических данных, суммы в рублях</t>
  </si>
  <si>
    <t xml:space="preserve">Фильтр PSP:</t>
  </si>
  <si>
    <t xml:space="preserve">Все</t>
  </si>
  <si>
    <t xml:space="preserve">Порог match rate:</t>
  </si>
  <si>
    <t xml:space="preserve">Транзакций</t>
  </si>
  <si>
    <t xml:space="preserve">Расхождений</t>
  </si>
  <si>
    <t xml:space="preserve">Match rate</t>
  </si>
  <si>
    <t xml:space="preserve">Открыто / в работе</t>
  </si>
  <si>
    <t xml:space="preserve">Сумма открытых</t>
  </si>
  <si>
    <t xml:space="preserve">Итоги по PSP</t>
  </si>
  <si>
    <t xml:space="preserve">PSP</t>
  </si>
  <si>
    <t xml:space="preserve">Ниже порога, дней</t>
  </si>
  <si>
    <t xml:space="preserve">PSP Alfa</t>
  </si>
  <si>
    <t xml:space="preserve">PSP Beta</t>
  </si>
  <si>
    <t xml:space="preserve">PSP Gamma</t>
  </si>
  <si>
    <t xml:space="preserve">Расхождения по типам</t>
  </si>
  <si>
    <t xml:space="preserve">Match rate по дням</t>
  </si>
  <si>
    <t xml:space="preserve">Тип</t>
  </si>
  <si>
    <t xml:space="preserve">Статус</t>
  </si>
  <si>
    <t xml:space="preserve">Дата</t>
  </si>
  <si>
    <t xml:space="preserve">Сумма</t>
  </si>
  <si>
    <t xml:space="preserve">Комиссия</t>
  </si>
  <si>
    <t xml:space="preserve">Нет у PSP</t>
  </si>
  <si>
    <t xml:space="preserve">Нет в учёте</t>
  </si>
  <si>
    <t xml:space="preserve">Как читать: желтые ячейки — фильтр и порог, их можно менять. Красным подсвечены дни и PSP ниже порога.</t>
  </si>
  <si>
    <t xml:space="preserve">Журнал расхождений</t>
  </si>
  <si>
    <t xml:space="preserve">Каждое расхождение проходит путь «обнаружено → причина → закрыто». Статус и причину заполняет аналитик.</t>
  </si>
  <si>
    <t xml:space="preserve">Статус:</t>
  </si>
  <si>
    <t xml:space="preserve">Номер</t>
  </si>
  <si>
    <t xml:space="preserve">ID транзакции</t>
  </si>
  <si>
    <t xml:space="preserve">Сумма, ₽</t>
  </si>
  <si>
    <t xml:space="preserve">Причина</t>
  </si>
  <si>
    <t xml:space="preserve">Контроль балансов на счетах PSP</t>
  </si>
  <si>
    <t xml:space="preserve">Дельта = фактический баланс из выписки PSP − ожидаемый по учёту (остаток + депозиты − выводы − комиссии)</t>
  </si>
  <si>
    <t xml:space="preserve">Порог эскалации, ₽:</t>
  </si>
  <si>
    <t xml:space="preserve">Окно тренда, дней:</t>
  </si>
  <si>
    <t xml:space="preserve">PSP Alfa, дельта</t>
  </si>
  <si>
    <t xml:space="preserve">PSP Beta, дельта</t>
  </si>
  <si>
    <t xml:space="preserve">PSP Gamma, дельта</t>
  </si>
  <si>
    <t xml:space="preserve">Сводка</t>
  </si>
  <si>
    <t xml:space="preserve">Дельта на конец месяца</t>
  </si>
  <si>
    <t xml:space="preserve">Минимум дельты</t>
  </si>
  <si>
    <t xml:space="preserve">Дней выше порога</t>
  </si>
  <si>
    <t xml:space="preserve">Дней, когда дельта ниже вчерашней</t>
  </si>
  <si>
    <t xml:space="preserve">Тренд</t>
  </si>
  <si>
    <t xml:space="preserve">Средняя дельта, последнее окно</t>
  </si>
  <si>
    <t xml:space="preserve">Средняя дельта, предыдущее окно</t>
  </si>
  <si>
    <t xml:space="preserve">Сигнал</t>
  </si>
  <si>
    <t xml:space="preserve">Платёжный отчёт для трейдеров и финансов</t>
  </si>
  <si>
    <t xml:space="preserve">Сентябрь 2026 · онлайн-букмекер · 3 PSP · Москва, Санкт-Петербург, другие регионы</t>
  </si>
  <si>
    <t xml:space="preserve">PSP:</t>
  </si>
  <si>
    <t xml:space="preserve">Регион:</t>
  </si>
  <si>
    <t xml:space="preserve">Тип операции:</t>
  </si>
  <si>
    <t xml:space="preserve">Оборот</t>
  </si>
  <si>
    <t xml:space="preserve">Доля успешных</t>
  </si>
  <si>
    <t xml:space="preserve">Комиссии</t>
  </si>
  <si>
    <t xml:space="preserve">Эффективная комиссия</t>
  </si>
  <si>
    <t xml:space="preserve">По провайдерам</t>
  </si>
  <si>
    <t xml:space="preserve">Оборот, ₽</t>
  </si>
  <si>
    <t xml:space="preserve">Комиссии, ₽</t>
  </si>
  <si>
    <t xml:space="preserve">Отклонено, шт.</t>
  </si>
  <si>
    <t xml:space="preserve">По регионам</t>
  </si>
  <si>
    <t xml:space="preserve">Регион</t>
  </si>
  <si>
    <t xml:space="preserve">Москва</t>
  </si>
  <si>
    <t xml:space="preserve">Санкт-Петербург</t>
  </si>
  <si>
    <t xml:space="preserve">Другие регионы</t>
  </si>
  <si>
    <t xml:space="preserve">По неделям</t>
  </si>
  <si>
    <t xml:space="preserve">Неделя</t>
  </si>
  <si>
    <t xml:space="preserve">Депозиты, ₽</t>
  </si>
  <si>
    <t xml:space="preserve">Выводы, ₽</t>
  </si>
  <si>
    <t xml:space="preserve">2026-W36</t>
  </si>
  <si>
    <t xml:space="preserve">2026-W37</t>
  </si>
  <si>
    <t xml:space="preserve">2026-W38</t>
  </si>
  <si>
    <t xml:space="preserve">2026-W39</t>
  </si>
  <si>
    <t xml:space="preserve">Как читать: желтые ячейки — фильтры. Отклонённый платёж не равен потере денег: часть отказов на стороне игрока (нет средств, отмена). Сравнивать провайдеров корректно при одинаковом наборе регионов.</t>
  </si>
  <si>
    <t xml:space="preserve">BR-001</t>
  </si>
  <si>
    <t xml:space="preserve">GAM-0901-0000</t>
  </si>
  <si>
    <t xml:space="preserve">Возврат (refund) не загрузился во внутренний учёт</t>
  </si>
  <si>
    <t xml:space="preserve">Закрыто</t>
  </si>
  <si>
    <t xml:space="preserve">BR-002</t>
  </si>
  <si>
    <t xml:space="preserve">GAM-0902-0000</t>
  </si>
  <si>
    <t xml:space="preserve">Транзакция попала в выписку следующего дня (cut-off)</t>
  </si>
  <si>
    <t xml:space="preserve">BR-003</t>
  </si>
  <si>
    <t xml:space="preserve">GAM-0903-0000</t>
  </si>
  <si>
    <t xml:space="preserve">BR-004</t>
  </si>
  <si>
    <t xml:space="preserve">GAM-0906-0000</t>
  </si>
  <si>
    <t xml:space="preserve">PSP применил старую тарифную сетку</t>
  </si>
  <si>
    <t xml:space="preserve">BR-005</t>
  </si>
  <si>
    <t xml:space="preserve">GAM-0906-0001</t>
  </si>
  <si>
    <t xml:space="preserve">BR-006</t>
  </si>
  <si>
    <t xml:space="preserve">GAM-0907-0000</t>
  </si>
  <si>
    <t xml:space="preserve">BR-007</t>
  </si>
  <si>
    <t xml:space="preserve">GAM-0907-0001</t>
  </si>
  <si>
    <t xml:space="preserve">Частичный возврат у PSP не отражён во внутреннем учёте</t>
  </si>
  <si>
    <t xml:space="preserve">BR-008</t>
  </si>
  <si>
    <t xml:space="preserve">GAM-0907-0002</t>
  </si>
  <si>
    <t xml:space="preserve">BR-009</t>
  </si>
  <si>
    <t xml:space="preserve">GAM-0908-0000</t>
  </si>
  <si>
    <t xml:space="preserve">BR-010</t>
  </si>
  <si>
    <t xml:space="preserve">GAM-0909-0000</t>
  </si>
  <si>
    <t xml:space="preserve">BR-011</t>
  </si>
  <si>
    <t xml:space="preserve">ALF-0910-0000</t>
  </si>
  <si>
    <t xml:space="preserve">BR-012</t>
  </si>
  <si>
    <t xml:space="preserve">ALF-0911-0000</t>
  </si>
  <si>
    <t xml:space="preserve">BR-013</t>
  </si>
  <si>
    <t xml:space="preserve">ALF-0911-0001</t>
  </si>
  <si>
    <t xml:space="preserve">Таймаут: у нас success, у PSP failed — PSP подтвердил позже</t>
  </si>
  <si>
    <t xml:space="preserve">BR-014</t>
  </si>
  <si>
    <t xml:space="preserve">GAM-0911-0000</t>
  </si>
  <si>
    <t xml:space="preserve">BR-015</t>
  </si>
  <si>
    <t xml:space="preserve">GAM-0911-0001</t>
  </si>
  <si>
    <t xml:space="preserve">BR-016</t>
  </si>
  <si>
    <t xml:space="preserve">GAM-0912-0000</t>
  </si>
  <si>
    <t xml:space="preserve">BR-017</t>
  </si>
  <si>
    <t xml:space="preserve">GAM-0913-0000</t>
  </si>
  <si>
    <t xml:space="preserve">BR-018</t>
  </si>
  <si>
    <t xml:space="preserve">GAM-0913-0001</t>
  </si>
  <si>
    <t xml:space="preserve">BR-019</t>
  </si>
  <si>
    <t xml:space="preserve">GAM-0914-0000</t>
  </si>
  <si>
    <t xml:space="preserve">BR-020</t>
  </si>
  <si>
    <t xml:space="preserve">GAM-0914-0001</t>
  </si>
  <si>
    <t xml:space="preserve">BR-021</t>
  </si>
  <si>
    <t xml:space="preserve">GAM-0915-0000</t>
  </si>
  <si>
    <t xml:space="preserve">BR-022</t>
  </si>
  <si>
    <t xml:space="preserve">GAM-0915-0001</t>
  </si>
  <si>
    <t xml:space="preserve">BR-023</t>
  </si>
  <si>
    <t xml:space="preserve">GAM-0915-0002</t>
  </si>
  <si>
    <t xml:space="preserve">BR-024</t>
  </si>
  <si>
    <t xml:space="preserve">GAM-0915-0003</t>
  </si>
  <si>
    <t xml:space="preserve">BR-025</t>
  </si>
  <si>
    <t xml:space="preserve">GAM-0915-0004</t>
  </si>
  <si>
    <t xml:space="preserve">BR-026</t>
  </si>
  <si>
    <t xml:space="preserve">BET-0916-0000</t>
  </si>
  <si>
    <t xml:space="preserve">BR-027</t>
  </si>
  <si>
    <t xml:space="preserve">BET-0916-0001</t>
  </si>
  <si>
    <t xml:space="preserve">BR-028</t>
  </si>
  <si>
    <t xml:space="preserve">GAM-0916-0000</t>
  </si>
  <si>
    <t xml:space="preserve">BR-029</t>
  </si>
  <si>
    <t xml:space="preserve">GAM-0916-0001</t>
  </si>
  <si>
    <t xml:space="preserve">BR-030</t>
  </si>
  <si>
    <t xml:space="preserve">BET-0917-0000</t>
  </si>
  <si>
    <t xml:space="preserve">BR-031</t>
  </si>
  <si>
    <t xml:space="preserve">BET-0917-0001</t>
  </si>
  <si>
    <t xml:space="preserve">BR-032</t>
  </si>
  <si>
    <t xml:space="preserve">GAM-0917-0000</t>
  </si>
  <si>
    <t xml:space="preserve">BR-033</t>
  </si>
  <si>
    <t xml:space="preserve">GAM-0917-0001</t>
  </si>
  <si>
    <t xml:space="preserve">BR-034</t>
  </si>
  <si>
    <t xml:space="preserve">ALF-0919-0000</t>
  </si>
  <si>
    <t xml:space="preserve">BR-035</t>
  </si>
  <si>
    <t xml:space="preserve">BET-0919-0000</t>
  </si>
  <si>
    <t xml:space="preserve">BR-036</t>
  </si>
  <si>
    <t xml:space="preserve">GAM-0919-0000</t>
  </si>
  <si>
    <t xml:space="preserve">BR-037</t>
  </si>
  <si>
    <t xml:space="preserve">GAM-0919-0001</t>
  </si>
  <si>
    <t xml:space="preserve">BR-038</t>
  </si>
  <si>
    <t xml:space="preserve">ALF-0920-0000</t>
  </si>
  <si>
    <t xml:space="preserve">BR-039</t>
  </si>
  <si>
    <t xml:space="preserve">BET-0920-0000</t>
  </si>
  <si>
    <t xml:space="preserve">BR-040</t>
  </si>
  <si>
    <t xml:space="preserve">GAM-0921-0000</t>
  </si>
  <si>
    <t xml:space="preserve">BR-041</t>
  </si>
  <si>
    <t xml:space="preserve">ALF-0922-0000</t>
  </si>
  <si>
    <t xml:space="preserve">BR-042</t>
  </si>
  <si>
    <t xml:space="preserve">ALF-0923-0000</t>
  </si>
  <si>
    <t xml:space="preserve">BR-043</t>
  </si>
  <si>
    <t xml:space="preserve">GAM-0923-0000</t>
  </si>
  <si>
    <t xml:space="preserve">BR-044</t>
  </si>
  <si>
    <t xml:space="preserve">ALF-0925-0000</t>
  </si>
  <si>
    <t xml:space="preserve">BR-045</t>
  </si>
  <si>
    <t xml:space="preserve">GAM-0926-0000</t>
  </si>
  <si>
    <t xml:space="preserve">BR-046</t>
  </si>
  <si>
    <t xml:space="preserve">BET-0927-0000</t>
  </si>
  <si>
    <t xml:space="preserve">Открыто</t>
  </si>
  <si>
    <t xml:space="preserve">BR-047</t>
  </si>
  <si>
    <t xml:space="preserve">GAM-0927-0000</t>
  </si>
  <si>
    <t xml:space="preserve">BR-048</t>
  </si>
  <si>
    <t xml:space="preserve">GAM-0928-0000</t>
  </si>
  <si>
    <t xml:space="preserve">BR-049</t>
  </si>
  <si>
    <t xml:space="preserve">GAM-0928-0001</t>
  </si>
  <si>
    <t xml:space="preserve">BR-050</t>
  </si>
  <si>
    <t xml:space="preserve">GAM-0929-0000</t>
  </si>
  <si>
    <t xml:space="preserve">BR-051</t>
  </si>
  <si>
    <t xml:space="preserve">GAM-0929-0001</t>
  </si>
  <si>
    <t xml:space="preserve">В работе</t>
  </si>
  <si>
    <t xml:space="preserve">BR-052</t>
  </si>
  <si>
    <t xml:space="preserve">GAM-0930-0000</t>
  </si>
  <si>
    <t xml:space="preserve">BR-053</t>
  </si>
  <si>
    <t xml:space="preserve">GAM-0930-0001</t>
  </si>
  <si>
    <t xml:space="preserve">Ожидаемый баланс, ₽</t>
  </si>
  <si>
    <t xml:space="preserve">Фактический баланс, ₽</t>
  </si>
  <si>
    <t xml:space="preserve">Успешных</t>
  </si>
  <si>
    <t xml:space="preserve">Неуспешных</t>
  </si>
  <si>
    <t xml:space="preserve">Комиссия, ₽</t>
  </si>
  <si>
    <t xml:space="preserve">Депозит</t>
  </si>
  <si>
    <t xml:space="preserve">Вывод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</si>
</sst>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#,##0"/>
    <numFmt numFmtId="167" formatCode="0.00%"/>
    <numFmt numFmtId="168" formatCode="#,##0&quot; ₽&quot;;\-#,##0&quot; ₽&quot;;\–"/>
    <numFmt numFmtId="169" formatCode="dd\.mm"/>
    <numFmt numFmtId="170" formatCode="0%"/>
    <numFmt numFmtId="171" formatCode="dd\.mm\.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8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2F6FDE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8B5CF6"/>
      <name val="Arial"/>
      <family val="0"/>
      <charset val="1"/>
    </font>
    <font>
      <b val="true"/>
      <sz val="10"/>
      <color rgb="FFF08A2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4C2"/>
        <bgColor rgb="FFFFFF99"/>
      </patternFill>
    </fill>
    <fill>
      <patternFill patternType="solid">
        <fgColor rgb="FFF7F8FA"/>
        <bgColor rgb="FFF1F3F6"/>
      </patternFill>
    </fill>
    <fill>
      <patternFill patternType="solid">
        <fgColor rgb="FFF1F3F6"/>
        <bgColor rgb="FFF7F8F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BE3E3"/>
        </patternFill>
      </fill>
    </dxf>
    <dxf>
      <fill>
        <patternFill>
          <bgColor rgb="FFFFF4C2"/>
        </patternFill>
      </fill>
    </dxf>
  </dxfs>
  <colors>
    <indexedColors>
      <rgbColor rgb="FF000000"/>
      <rgbColor rgb="FFF7F8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CE"/>
      <rgbColor rgb="FF878787"/>
      <rgbColor rgb="FF8B5CF6"/>
      <rgbColor rgb="FFC0504D"/>
      <rgbColor rgb="FFFFF4C2"/>
      <rgbColor rgb="FFF1F3F6"/>
      <rgbColor rgb="FF660066"/>
      <rgbColor rgb="FFF79646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BE3E3"/>
      <rgbColor rgb="FF2F6FDE"/>
      <rgbColor rgb="FF4BACC6"/>
      <rgbColor rgb="FF9BBB59"/>
      <rgbColor rgb="FFFFCC00"/>
      <rgbColor rgb="FFF08A24"/>
      <rgbColor rgb="FFFF6600"/>
      <rgbColor rgb="FF6B7280"/>
      <rgbColor rgb="FF8064A2"/>
      <rgbColor rgb="FF003366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Match rate по дням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Сверка!H18</c:f>
              <c:strCache>
                <c:ptCount val="1"/>
                <c:pt idx="0">
                  <c:v>PSP Alfa</c:v>
                </c:pt>
              </c:strCache>
            </c:strRef>
          </c:tx>
          <c:spPr>
            <a:solidFill>
              <a:srgbClr val="2f6fde"/>
            </a:solidFill>
            <a:ln w="21960">
              <a:solidFill>
                <a:srgbClr val="2f6fd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Сверка!$G$19:$G$48</c:f>
              <c:strCache>
                <c:ptCount val="30"/>
                <c:pt idx="0">
                  <c:v>01.09</c:v>
                </c:pt>
                <c:pt idx="1">
                  <c:v>02.09</c:v>
                </c:pt>
                <c:pt idx="2">
                  <c:v>03.09</c:v>
                </c:pt>
                <c:pt idx="3">
                  <c:v>04.09</c:v>
                </c:pt>
                <c:pt idx="4">
                  <c:v>05.09</c:v>
                </c:pt>
                <c:pt idx="5">
                  <c:v>06.09</c:v>
                </c:pt>
                <c:pt idx="6">
                  <c:v>07.09</c:v>
                </c:pt>
                <c:pt idx="7">
                  <c:v>08.09</c:v>
                </c:pt>
                <c:pt idx="8">
                  <c:v>09.09</c:v>
                </c:pt>
                <c:pt idx="9">
                  <c:v>10.09</c:v>
                </c:pt>
                <c:pt idx="10">
                  <c:v>11.09</c:v>
                </c:pt>
                <c:pt idx="11">
                  <c:v>12.09</c:v>
                </c:pt>
                <c:pt idx="12">
                  <c:v>13.09</c:v>
                </c:pt>
                <c:pt idx="13">
                  <c:v>14.09</c:v>
                </c:pt>
                <c:pt idx="14">
                  <c:v>15.09</c:v>
                </c:pt>
                <c:pt idx="15">
                  <c:v>16.09</c:v>
                </c:pt>
                <c:pt idx="16">
                  <c:v>17.09</c:v>
                </c:pt>
                <c:pt idx="17">
                  <c:v>18.09</c:v>
                </c:pt>
                <c:pt idx="18">
                  <c:v>19.09</c:v>
                </c:pt>
                <c:pt idx="19">
                  <c:v>20.09</c:v>
                </c:pt>
                <c:pt idx="20">
                  <c:v>21.09</c:v>
                </c:pt>
                <c:pt idx="21">
                  <c:v>22.09</c:v>
                </c:pt>
                <c:pt idx="22">
                  <c:v>23.09</c:v>
                </c:pt>
                <c:pt idx="23">
                  <c:v>24.09</c:v>
                </c:pt>
                <c:pt idx="24">
                  <c:v>25.09</c:v>
                </c:pt>
                <c:pt idx="25">
                  <c:v>26.09</c:v>
                </c:pt>
                <c:pt idx="26">
                  <c:v>27.09</c:v>
                </c:pt>
                <c:pt idx="27">
                  <c:v>28.09</c:v>
                </c:pt>
                <c:pt idx="28">
                  <c:v>29.09</c:v>
                </c:pt>
                <c:pt idx="29">
                  <c:v>30.09</c:v>
                </c:pt>
              </c:strCache>
            </c:strRef>
          </c:cat>
          <c:val>
            <c:numRef>
              <c:f>Сверка!$H$19:$H$48</c:f>
              <c:numCache>
                <c:formatCode>0.0%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0.995238095238095</c:v>
                </c:pt>
                <c:pt idx="10">
                  <c:v>0.987012987012987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0.994949494949495</c:v>
                </c:pt>
                <c:pt idx="19">
                  <c:v>0.994791666666667</c:v>
                </c:pt>
                <c:pt idx="20">
                  <c:v>1</c:v>
                </c:pt>
                <c:pt idx="21">
                  <c:v>0.994082840236686</c:v>
                </c:pt>
                <c:pt idx="22">
                  <c:v>0.994186046511628</c:v>
                </c:pt>
                <c:pt idx="23">
                  <c:v>1</c:v>
                </c:pt>
                <c:pt idx="24">
                  <c:v>0.994505494505495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Сверка!I18</c:f>
              <c:strCache>
                <c:ptCount val="1"/>
                <c:pt idx="0">
                  <c:v>PSP Beta</c:v>
                </c:pt>
              </c:strCache>
            </c:strRef>
          </c:tx>
          <c:spPr>
            <a:solidFill>
              <a:srgbClr val="8b5cf6"/>
            </a:solidFill>
            <a:ln w="21960">
              <a:solidFill>
                <a:srgbClr val="8b5cf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Сверка!$G$19:$G$48</c:f>
              <c:strCache>
                <c:ptCount val="30"/>
                <c:pt idx="0">
                  <c:v>01.09</c:v>
                </c:pt>
                <c:pt idx="1">
                  <c:v>02.09</c:v>
                </c:pt>
                <c:pt idx="2">
                  <c:v>03.09</c:v>
                </c:pt>
                <c:pt idx="3">
                  <c:v>04.09</c:v>
                </c:pt>
                <c:pt idx="4">
                  <c:v>05.09</c:v>
                </c:pt>
                <c:pt idx="5">
                  <c:v>06.09</c:v>
                </c:pt>
                <c:pt idx="6">
                  <c:v>07.09</c:v>
                </c:pt>
                <c:pt idx="7">
                  <c:v>08.09</c:v>
                </c:pt>
                <c:pt idx="8">
                  <c:v>09.09</c:v>
                </c:pt>
                <c:pt idx="9">
                  <c:v>10.09</c:v>
                </c:pt>
                <c:pt idx="10">
                  <c:v>11.09</c:v>
                </c:pt>
                <c:pt idx="11">
                  <c:v>12.09</c:v>
                </c:pt>
                <c:pt idx="12">
                  <c:v>13.09</c:v>
                </c:pt>
                <c:pt idx="13">
                  <c:v>14.09</c:v>
                </c:pt>
                <c:pt idx="14">
                  <c:v>15.09</c:v>
                </c:pt>
                <c:pt idx="15">
                  <c:v>16.09</c:v>
                </c:pt>
                <c:pt idx="16">
                  <c:v>17.09</c:v>
                </c:pt>
                <c:pt idx="17">
                  <c:v>18.09</c:v>
                </c:pt>
                <c:pt idx="18">
                  <c:v>19.09</c:v>
                </c:pt>
                <c:pt idx="19">
                  <c:v>20.09</c:v>
                </c:pt>
                <c:pt idx="20">
                  <c:v>21.09</c:v>
                </c:pt>
                <c:pt idx="21">
                  <c:v>22.09</c:v>
                </c:pt>
                <c:pt idx="22">
                  <c:v>23.09</c:v>
                </c:pt>
                <c:pt idx="23">
                  <c:v>24.09</c:v>
                </c:pt>
                <c:pt idx="24">
                  <c:v>25.09</c:v>
                </c:pt>
                <c:pt idx="25">
                  <c:v>26.09</c:v>
                </c:pt>
                <c:pt idx="26">
                  <c:v>27.09</c:v>
                </c:pt>
                <c:pt idx="27">
                  <c:v>28.09</c:v>
                </c:pt>
                <c:pt idx="28">
                  <c:v>29.09</c:v>
                </c:pt>
                <c:pt idx="29">
                  <c:v>30.09</c:v>
                </c:pt>
              </c:strCache>
            </c:strRef>
          </c:cat>
          <c:val>
            <c:numRef>
              <c:f>Сверка!$I$19:$I$48</c:f>
              <c:numCache>
                <c:formatCode>0.0%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0.983739837398374</c:v>
                </c:pt>
                <c:pt idx="16">
                  <c:v>0.984496124031008</c:v>
                </c:pt>
                <c:pt idx="17">
                  <c:v>1</c:v>
                </c:pt>
                <c:pt idx="18">
                  <c:v>0.993506493506494</c:v>
                </c:pt>
                <c:pt idx="19">
                  <c:v>0.992481203007519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0.993589743589744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Сверка!J18</c:f>
              <c:strCache>
                <c:ptCount val="1"/>
                <c:pt idx="0">
                  <c:v>PSP Gamma</c:v>
                </c:pt>
              </c:strCache>
            </c:strRef>
          </c:tx>
          <c:spPr>
            <a:solidFill>
              <a:srgbClr val="f08a24"/>
            </a:solidFill>
            <a:ln w="21960">
              <a:solidFill>
                <a:srgbClr val="f08a2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Сверка!$G$19:$G$48</c:f>
              <c:strCache>
                <c:ptCount val="30"/>
                <c:pt idx="0">
                  <c:v>01.09</c:v>
                </c:pt>
                <c:pt idx="1">
                  <c:v>02.09</c:v>
                </c:pt>
                <c:pt idx="2">
                  <c:v>03.09</c:v>
                </c:pt>
                <c:pt idx="3">
                  <c:v>04.09</c:v>
                </c:pt>
                <c:pt idx="4">
                  <c:v>05.09</c:v>
                </c:pt>
                <c:pt idx="5">
                  <c:v>06.09</c:v>
                </c:pt>
                <c:pt idx="6">
                  <c:v>07.09</c:v>
                </c:pt>
                <c:pt idx="7">
                  <c:v>08.09</c:v>
                </c:pt>
                <c:pt idx="8">
                  <c:v>09.09</c:v>
                </c:pt>
                <c:pt idx="9">
                  <c:v>10.09</c:v>
                </c:pt>
                <c:pt idx="10">
                  <c:v>11.09</c:v>
                </c:pt>
                <c:pt idx="11">
                  <c:v>12.09</c:v>
                </c:pt>
                <c:pt idx="12">
                  <c:v>13.09</c:v>
                </c:pt>
                <c:pt idx="13">
                  <c:v>14.09</c:v>
                </c:pt>
                <c:pt idx="14">
                  <c:v>15.09</c:v>
                </c:pt>
                <c:pt idx="15">
                  <c:v>16.09</c:v>
                </c:pt>
                <c:pt idx="16">
                  <c:v>17.09</c:v>
                </c:pt>
                <c:pt idx="17">
                  <c:v>18.09</c:v>
                </c:pt>
                <c:pt idx="18">
                  <c:v>19.09</c:v>
                </c:pt>
                <c:pt idx="19">
                  <c:v>20.09</c:v>
                </c:pt>
                <c:pt idx="20">
                  <c:v>21.09</c:v>
                </c:pt>
                <c:pt idx="21">
                  <c:v>22.09</c:v>
                </c:pt>
                <c:pt idx="22">
                  <c:v>23.09</c:v>
                </c:pt>
                <c:pt idx="23">
                  <c:v>24.09</c:v>
                </c:pt>
                <c:pt idx="24">
                  <c:v>25.09</c:v>
                </c:pt>
                <c:pt idx="25">
                  <c:v>26.09</c:v>
                </c:pt>
                <c:pt idx="26">
                  <c:v>27.09</c:v>
                </c:pt>
                <c:pt idx="27">
                  <c:v>28.09</c:v>
                </c:pt>
                <c:pt idx="28">
                  <c:v>29.09</c:v>
                </c:pt>
                <c:pt idx="29">
                  <c:v>30.09</c:v>
                </c:pt>
              </c:strCache>
            </c:strRef>
          </c:cat>
          <c:val>
            <c:numRef>
              <c:f>Сверка!$J$19:$J$48</c:f>
              <c:numCache>
                <c:formatCode>0.0%</c:formatCode>
                <c:ptCount val="30"/>
                <c:pt idx="0">
                  <c:v>0.987012987012987</c:v>
                </c:pt>
                <c:pt idx="1">
                  <c:v>0.984375</c:v>
                </c:pt>
                <c:pt idx="2">
                  <c:v>0.9875</c:v>
                </c:pt>
                <c:pt idx="3">
                  <c:v>1</c:v>
                </c:pt>
                <c:pt idx="4">
                  <c:v>1</c:v>
                </c:pt>
                <c:pt idx="5">
                  <c:v>0.973333333333333</c:v>
                </c:pt>
                <c:pt idx="6">
                  <c:v>0.953125</c:v>
                </c:pt>
                <c:pt idx="7">
                  <c:v>0.983606557377049</c:v>
                </c:pt>
                <c:pt idx="8">
                  <c:v>0.983870967741936</c:v>
                </c:pt>
                <c:pt idx="9">
                  <c:v>1</c:v>
                </c:pt>
                <c:pt idx="10">
                  <c:v>0.969230769230769</c:v>
                </c:pt>
                <c:pt idx="11">
                  <c:v>0.985714285714286</c:v>
                </c:pt>
                <c:pt idx="12">
                  <c:v>0.975308641975309</c:v>
                </c:pt>
                <c:pt idx="13">
                  <c:v>0.971014492753623</c:v>
                </c:pt>
                <c:pt idx="14">
                  <c:v>0.926470588235294</c:v>
                </c:pt>
                <c:pt idx="15">
                  <c:v>0.967213114754098</c:v>
                </c:pt>
                <c:pt idx="16">
                  <c:v>0.975</c:v>
                </c:pt>
                <c:pt idx="17">
                  <c:v>1</c:v>
                </c:pt>
                <c:pt idx="18">
                  <c:v>0.978021978021978</c:v>
                </c:pt>
                <c:pt idx="19">
                  <c:v>1</c:v>
                </c:pt>
                <c:pt idx="20">
                  <c:v>0.983870967741936</c:v>
                </c:pt>
                <c:pt idx="21">
                  <c:v>1</c:v>
                </c:pt>
                <c:pt idx="22">
                  <c:v>0.987804878048781</c:v>
                </c:pt>
                <c:pt idx="23">
                  <c:v>1</c:v>
                </c:pt>
                <c:pt idx="24">
                  <c:v>1</c:v>
                </c:pt>
                <c:pt idx="25">
                  <c:v>0.9875</c:v>
                </c:pt>
                <c:pt idx="26">
                  <c:v>0.989583333333333</c:v>
                </c:pt>
                <c:pt idx="27">
                  <c:v>0.974025974025974</c:v>
                </c:pt>
                <c:pt idx="28">
                  <c:v>0.967213114754098</c:v>
                </c:pt>
                <c:pt idx="29">
                  <c:v>0.973333333333333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750634"/>
        <c:axId val="69353588"/>
      </c:lineChart>
      <c:catAx>
        <c:axId val="17750634"/>
        <c:scaling>
          <c:orientation val="minMax"/>
        </c:scaling>
        <c:delete val="0"/>
        <c:axPos val="b"/>
        <c:numFmt formatCode="dd\.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53588"/>
        <c:crosses val="autoZero"/>
        <c:auto val="1"/>
        <c:lblAlgn val="ctr"/>
        <c:lblOffset val="100"/>
        <c:noMultiLvlLbl val="0"/>
      </c:catAx>
      <c:valAx>
        <c:axId val="69353588"/>
        <c:scaling>
          <c:orientation val="minMax"/>
          <c:max val="1"/>
          <c:min val="0.9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7506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Расхождения по PSP и типам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Сверка!A17</c:f>
              <c:strCache>
                <c:ptCount val="1"/>
                <c:pt idx="0">
                  <c:v>Тип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Сверка!$B$17:$D$17</c:f>
              <c:strCache>
                <c:ptCount val="3"/>
                <c:pt idx="0">
                  <c:v>PSP Alfa</c:v>
                </c:pt>
                <c:pt idx="1">
                  <c:v>PSP Beta</c:v>
                </c:pt>
                <c:pt idx="2">
                  <c:v>PSP Gamma</c:v>
                </c:pt>
              </c:strCache>
            </c:strRef>
          </c:cat>
          <c:val>
            <c:numRef>
              <c:f>Сверка!$B$17:$D$17</c:f>
              <c:numCache>
                <c:formatCode>General</c:formatCode>
                <c:ptCount val="3"/>
              </c:numCache>
            </c:numRef>
          </c:val>
        </c:ser>
        <c:ser>
          <c:idx val="1"/>
          <c:order val="1"/>
          <c:tx>
            <c:strRef>
              <c:f>Сверка!A18</c:f>
              <c:strCache>
                <c:ptCount val="1"/>
                <c:pt idx="0">
                  <c:v>Статус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Сверка!$B$17:$D$17</c:f>
              <c:strCache>
                <c:ptCount val="3"/>
                <c:pt idx="0">
                  <c:v>PSP Alfa</c:v>
                </c:pt>
                <c:pt idx="1">
                  <c:v>PSP Beta</c:v>
                </c:pt>
                <c:pt idx="2">
                  <c:v>PSP Gamma</c:v>
                </c:pt>
              </c:strCache>
            </c:strRef>
          </c:cat>
          <c:val>
            <c:numRef>
              <c:f>Сверка!$B$18:$D$18</c:f>
              <c:numCache>
                <c:formatCode>#,##0</c:formatCode>
                <c:ptCount val="3"/>
                <c:pt idx="0">
                  <c:v>2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</c:ser>
        <c:ser>
          <c:idx val="2"/>
          <c:order val="2"/>
          <c:tx>
            <c:strRef>
              <c:f>Сверка!A19</c:f>
              <c:strCache>
                <c:ptCount val="1"/>
                <c:pt idx="0">
                  <c:v>Сумма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Сверка!$B$17:$D$17</c:f>
              <c:strCache>
                <c:ptCount val="3"/>
                <c:pt idx="0">
                  <c:v>PSP Alfa</c:v>
                </c:pt>
                <c:pt idx="1">
                  <c:v>PSP Beta</c:v>
                </c:pt>
                <c:pt idx="2">
                  <c:v>PSP Gamma</c:v>
                </c:pt>
              </c:strCache>
            </c:strRef>
          </c:cat>
          <c:val>
            <c:numRef>
              <c:f>Сверка!$B$19:$D$19</c:f>
              <c:numCache>
                <c:formatCode>#,##0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9</c:v>
                </c:pt>
              </c:numCache>
            </c:numRef>
          </c:val>
        </c:ser>
        <c:ser>
          <c:idx val="3"/>
          <c:order val="3"/>
          <c:tx>
            <c:strRef>
              <c:f>Сверка!A20</c:f>
              <c:strCache>
                <c:ptCount val="1"/>
                <c:pt idx="0">
                  <c:v>Комиссия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Сверка!$B$17:$D$17</c:f>
              <c:strCache>
                <c:ptCount val="3"/>
                <c:pt idx="0">
                  <c:v>PSP Alfa</c:v>
                </c:pt>
                <c:pt idx="1">
                  <c:v>PSP Beta</c:v>
                </c:pt>
                <c:pt idx="2">
                  <c:v>PSP Gamma</c:v>
                </c:pt>
              </c:strCache>
            </c:strRef>
          </c:cat>
          <c:val>
            <c:numRef>
              <c:f>Сверка!$B$20:$D$20</c:f>
              <c:numCache>
                <c:formatCode>#,##0</c:formatCode>
                <c:ptCount val="3"/>
                <c:pt idx="0">
                  <c:v>2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ser>
          <c:idx val="4"/>
          <c:order val="4"/>
          <c:tx>
            <c:strRef>
              <c:f>Сверка!A21</c:f>
              <c:strCache>
                <c:ptCount val="1"/>
                <c:pt idx="0">
                  <c:v>Нет у PSP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Сверка!$B$17:$D$17</c:f>
              <c:strCache>
                <c:ptCount val="3"/>
                <c:pt idx="0">
                  <c:v>PSP Alfa</c:v>
                </c:pt>
                <c:pt idx="1">
                  <c:v>PSP Beta</c:v>
                </c:pt>
                <c:pt idx="2">
                  <c:v>PSP Gamma</c:v>
                </c:pt>
              </c:strCache>
            </c:strRef>
          </c:cat>
          <c:val>
            <c:numRef>
              <c:f>Сверка!$B$21:$D$21</c:f>
              <c:numCache>
                <c:formatCode>#,##0</c:formatCode>
                <c:ptCount val="3"/>
                <c:pt idx="0">
                  <c:v>2</c:v>
                </c:pt>
                <c:pt idx="1">
                  <c:v>1</c:v>
                </c:pt>
                <c:pt idx="2">
                  <c:v>7</c:v>
                </c:pt>
              </c:numCache>
            </c:numRef>
          </c:val>
        </c:ser>
        <c:ser>
          <c:idx val="5"/>
          <c:order val="5"/>
          <c:tx>
            <c:strRef>
              <c:f>Сверка!A22</c:f>
              <c:strCache>
                <c:ptCount val="1"/>
                <c:pt idx="0">
                  <c:v>Нет в учёте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Сверка!$B$17:$D$17</c:f>
              <c:strCache>
                <c:ptCount val="3"/>
                <c:pt idx="0">
                  <c:v>PSP Alfa</c:v>
                </c:pt>
                <c:pt idx="1">
                  <c:v>PSP Beta</c:v>
                </c:pt>
                <c:pt idx="2">
                  <c:v>PSP Gamma</c:v>
                </c:pt>
              </c:strCache>
            </c:strRef>
          </c:cat>
          <c:val>
            <c:numRef>
              <c:f>Сверка!$B$22:$D$22</c:f>
              <c:numCache>
                <c:formatCode>#,##0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9</c:v>
                </c:pt>
              </c:numCache>
            </c:numRef>
          </c:val>
        </c:ser>
        <c:gapWidth val="150"/>
        <c:overlap val="100"/>
        <c:axId val="33918909"/>
        <c:axId val="64836010"/>
      </c:barChart>
      <c:catAx>
        <c:axId val="339189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836010"/>
        <c:crosses val="autoZero"/>
        <c:auto val="1"/>
        <c:lblAlgn val="ctr"/>
        <c:lblOffset val="100"/>
        <c:noMultiLvlLbl val="0"/>
      </c:catAx>
      <c:valAx>
        <c:axId val="648360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189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Дельта баланса по дням, ₽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Балансы!B6</c:f>
              <c:strCache>
                <c:ptCount val="1"/>
                <c:pt idx="0">
                  <c:v>PSP Alfa, дельта</c:v>
                </c:pt>
              </c:strCache>
            </c:strRef>
          </c:tx>
          <c:spPr>
            <a:solidFill>
              <a:srgbClr val="2f6fde"/>
            </a:solidFill>
            <a:ln w="21960">
              <a:solidFill>
                <a:srgbClr val="2f6fd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Балансы!$A$7:$A$36</c:f>
              <c:strCache>
                <c:ptCount val="30"/>
                <c:pt idx="0">
                  <c:v>01.09</c:v>
                </c:pt>
                <c:pt idx="1">
                  <c:v>02.09</c:v>
                </c:pt>
                <c:pt idx="2">
                  <c:v>03.09</c:v>
                </c:pt>
                <c:pt idx="3">
                  <c:v>04.09</c:v>
                </c:pt>
                <c:pt idx="4">
                  <c:v>05.09</c:v>
                </c:pt>
                <c:pt idx="5">
                  <c:v>06.09</c:v>
                </c:pt>
                <c:pt idx="6">
                  <c:v>07.09</c:v>
                </c:pt>
                <c:pt idx="7">
                  <c:v>08.09</c:v>
                </c:pt>
                <c:pt idx="8">
                  <c:v>09.09</c:v>
                </c:pt>
                <c:pt idx="9">
                  <c:v>10.09</c:v>
                </c:pt>
                <c:pt idx="10">
                  <c:v>11.09</c:v>
                </c:pt>
                <c:pt idx="11">
                  <c:v>12.09</c:v>
                </c:pt>
                <c:pt idx="12">
                  <c:v>13.09</c:v>
                </c:pt>
                <c:pt idx="13">
                  <c:v>14.09</c:v>
                </c:pt>
                <c:pt idx="14">
                  <c:v>15.09</c:v>
                </c:pt>
                <c:pt idx="15">
                  <c:v>16.09</c:v>
                </c:pt>
                <c:pt idx="16">
                  <c:v>17.09</c:v>
                </c:pt>
                <c:pt idx="17">
                  <c:v>18.09</c:v>
                </c:pt>
                <c:pt idx="18">
                  <c:v>19.09</c:v>
                </c:pt>
                <c:pt idx="19">
                  <c:v>20.09</c:v>
                </c:pt>
                <c:pt idx="20">
                  <c:v>21.09</c:v>
                </c:pt>
                <c:pt idx="21">
                  <c:v>22.09</c:v>
                </c:pt>
                <c:pt idx="22">
                  <c:v>23.09</c:v>
                </c:pt>
                <c:pt idx="23">
                  <c:v>24.09</c:v>
                </c:pt>
                <c:pt idx="24">
                  <c:v>25.09</c:v>
                </c:pt>
                <c:pt idx="25">
                  <c:v>26.09</c:v>
                </c:pt>
                <c:pt idx="26">
                  <c:v>27.09</c:v>
                </c:pt>
                <c:pt idx="27">
                  <c:v>28.09</c:v>
                </c:pt>
                <c:pt idx="28">
                  <c:v>29.09</c:v>
                </c:pt>
                <c:pt idx="29">
                  <c:v>30.09</c:v>
                </c:pt>
              </c:strCache>
            </c:strRef>
          </c:cat>
          <c:val>
            <c:numRef>
              <c:f>Балансы!$B$7:$B$36</c:f>
              <c:numCache>
                <c:formatCode>#,##0" ₽";\-#,##0" ₽";\–</c:formatCode>
                <c:ptCount val="30"/>
                <c:pt idx="0">
                  <c:v>-3626.21999999974</c:v>
                </c:pt>
                <c:pt idx="1">
                  <c:v>9957.72999999952</c:v>
                </c:pt>
                <c:pt idx="2">
                  <c:v>-12542.8099999996</c:v>
                </c:pt>
                <c:pt idx="3">
                  <c:v>1182.58000000007</c:v>
                </c:pt>
                <c:pt idx="4">
                  <c:v>-4501.18000000063</c:v>
                </c:pt>
                <c:pt idx="5">
                  <c:v>8436.99000000022</c:v>
                </c:pt>
                <c:pt idx="6">
                  <c:v>7627</c:v>
                </c:pt>
                <c:pt idx="7">
                  <c:v>-9019.1799999997</c:v>
                </c:pt>
                <c:pt idx="8">
                  <c:v>-10428.5299999993</c:v>
                </c:pt>
                <c:pt idx="9">
                  <c:v>5083.76000000071</c:v>
                </c:pt>
                <c:pt idx="10">
                  <c:v>-8461.05999999959</c:v>
                </c:pt>
                <c:pt idx="11">
                  <c:v>8006.94000000041</c:v>
                </c:pt>
                <c:pt idx="12">
                  <c:v>3217.43000000063</c:v>
                </c:pt>
                <c:pt idx="13">
                  <c:v>-11564.0200000005</c:v>
                </c:pt>
                <c:pt idx="14">
                  <c:v>13941.6200000001</c:v>
                </c:pt>
                <c:pt idx="15">
                  <c:v>-14229.6500000004</c:v>
                </c:pt>
                <c:pt idx="16">
                  <c:v>5320.41999999993</c:v>
                </c:pt>
                <c:pt idx="17">
                  <c:v>-3100.36000000034</c:v>
                </c:pt>
                <c:pt idx="18">
                  <c:v>-12720.0999999996</c:v>
                </c:pt>
                <c:pt idx="19">
                  <c:v>3817.27999999933</c:v>
                </c:pt>
                <c:pt idx="20">
                  <c:v>8174.4299999997</c:v>
                </c:pt>
                <c:pt idx="21">
                  <c:v>3012.34000000171</c:v>
                </c:pt>
                <c:pt idx="22">
                  <c:v>14515.3299999982</c:v>
                </c:pt>
                <c:pt idx="23">
                  <c:v>-4583.87999999896</c:v>
                </c:pt>
                <c:pt idx="24">
                  <c:v>-3882.87000000104</c:v>
                </c:pt>
                <c:pt idx="25">
                  <c:v>-4763.0700000003</c:v>
                </c:pt>
                <c:pt idx="26">
                  <c:v>9669.9299999997</c:v>
                </c:pt>
                <c:pt idx="27">
                  <c:v>13823.629999999</c:v>
                </c:pt>
                <c:pt idx="28">
                  <c:v>9861.21999999881</c:v>
                </c:pt>
                <c:pt idx="29">
                  <c:v>-1935.38000000082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Балансы!C6</c:f>
              <c:strCache>
                <c:ptCount val="1"/>
                <c:pt idx="0">
                  <c:v>PSP Beta, дельта</c:v>
                </c:pt>
              </c:strCache>
            </c:strRef>
          </c:tx>
          <c:spPr>
            <a:solidFill>
              <a:srgbClr val="8b5cf6"/>
            </a:solidFill>
            <a:ln w="21960">
              <a:solidFill>
                <a:srgbClr val="8b5cf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Балансы!$A$7:$A$36</c:f>
              <c:strCache>
                <c:ptCount val="30"/>
                <c:pt idx="0">
                  <c:v>01.09</c:v>
                </c:pt>
                <c:pt idx="1">
                  <c:v>02.09</c:v>
                </c:pt>
                <c:pt idx="2">
                  <c:v>03.09</c:v>
                </c:pt>
                <c:pt idx="3">
                  <c:v>04.09</c:v>
                </c:pt>
                <c:pt idx="4">
                  <c:v>05.09</c:v>
                </c:pt>
                <c:pt idx="5">
                  <c:v>06.09</c:v>
                </c:pt>
                <c:pt idx="6">
                  <c:v>07.09</c:v>
                </c:pt>
                <c:pt idx="7">
                  <c:v>08.09</c:v>
                </c:pt>
                <c:pt idx="8">
                  <c:v>09.09</c:v>
                </c:pt>
                <c:pt idx="9">
                  <c:v>10.09</c:v>
                </c:pt>
                <c:pt idx="10">
                  <c:v>11.09</c:v>
                </c:pt>
                <c:pt idx="11">
                  <c:v>12.09</c:v>
                </c:pt>
                <c:pt idx="12">
                  <c:v>13.09</c:v>
                </c:pt>
                <c:pt idx="13">
                  <c:v>14.09</c:v>
                </c:pt>
                <c:pt idx="14">
                  <c:v>15.09</c:v>
                </c:pt>
                <c:pt idx="15">
                  <c:v>16.09</c:v>
                </c:pt>
                <c:pt idx="16">
                  <c:v>17.09</c:v>
                </c:pt>
                <c:pt idx="17">
                  <c:v>18.09</c:v>
                </c:pt>
                <c:pt idx="18">
                  <c:v>19.09</c:v>
                </c:pt>
                <c:pt idx="19">
                  <c:v>20.09</c:v>
                </c:pt>
                <c:pt idx="20">
                  <c:v>21.09</c:v>
                </c:pt>
                <c:pt idx="21">
                  <c:v>22.09</c:v>
                </c:pt>
                <c:pt idx="22">
                  <c:v>23.09</c:v>
                </c:pt>
                <c:pt idx="23">
                  <c:v>24.09</c:v>
                </c:pt>
                <c:pt idx="24">
                  <c:v>25.09</c:v>
                </c:pt>
                <c:pt idx="25">
                  <c:v>26.09</c:v>
                </c:pt>
                <c:pt idx="26">
                  <c:v>27.09</c:v>
                </c:pt>
                <c:pt idx="27">
                  <c:v>28.09</c:v>
                </c:pt>
                <c:pt idx="28">
                  <c:v>29.09</c:v>
                </c:pt>
                <c:pt idx="29">
                  <c:v>30.09</c:v>
                </c:pt>
              </c:strCache>
            </c:strRef>
          </c:cat>
          <c:val>
            <c:numRef>
              <c:f>Балансы!$C$7:$C$36</c:f>
              <c:numCache>
                <c:formatCode>#,##0" ₽";\-#,##0" ₽";\–</c:formatCode>
                <c:ptCount val="30"/>
                <c:pt idx="0">
                  <c:v>-6897.51999999955</c:v>
                </c:pt>
                <c:pt idx="1">
                  <c:v>1145.18999999948</c:v>
                </c:pt>
                <c:pt idx="2">
                  <c:v>-1932.76999999955</c:v>
                </c:pt>
                <c:pt idx="3">
                  <c:v>-6948.13999999873</c:v>
                </c:pt>
                <c:pt idx="4">
                  <c:v>9921.93000000157</c:v>
                </c:pt>
                <c:pt idx="5">
                  <c:v>11448.9299999997</c:v>
                </c:pt>
                <c:pt idx="6">
                  <c:v>-1058.74000000022</c:v>
                </c:pt>
                <c:pt idx="7">
                  <c:v>-3630.31999999844</c:v>
                </c:pt>
                <c:pt idx="8">
                  <c:v>-79471.4100000002</c:v>
                </c:pt>
                <c:pt idx="9">
                  <c:v>-98636.4000000004</c:v>
                </c:pt>
                <c:pt idx="10">
                  <c:v>-4789.83000000007</c:v>
                </c:pt>
                <c:pt idx="11">
                  <c:v>6035.50999999978</c:v>
                </c:pt>
                <c:pt idx="12">
                  <c:v>-14695.459999999</c:v>
                </c:pt>
                <c:pt idx="13">
                  <c:v>-12431.6100000013</c:v>
                </c:pt>
                <c:pt idx="14">
                  <c:v>-342.660000000149</c:v>
                </c:pt>
                <c:pt idx="15">
                  <c:v>5718.28000000119</c:v>
                </c:pt>
                <c:pt idx="16">
                  <c:v>-275.359999999404</c:v>
                </c:pt>
                <c:pt idx="17">
                  <c:v>-12208.4000000004</c:v>
                </c:pt>
                <c:pt idx="18">
                  <c:v>5753.61999999918</c:v>
                </c:pt>
                <c:pt idx="19">
                  <c:v>2446.66999999993</c:v>
                </c:pt>
                <c:pt idx="20">
                  <c:v>927.660000000149</c:v>
                </c:pt>
                <c:pt idx="21">
                  <c:v>7378.06000000052</c:v>
                </c:pt>
                <c:pt idx="22">
                  <c:v>6085.65000000037</c:v>
                </c:pt>
                <c:pt idx="23">
                  <c:v>-7457.8900000006</c:v>
                </c:pt>
                <c:pt idx="24">
                  <c:v>-9222.47000000067</c:v>
                </c:pt>
                <c:pt idx="25">
                  <c:v>1075.90999999829</c:v>
                </c:pt>
                <c:pt idx="26">
                  <c:v>-9445.50999999978</c:v>
                </c:pt>
                <c:pt idx="27">
                  <c:v>-474.040000000969</c:v>
                </c:pt>
                <c:pt idx="28">
                  <c:v>14298.209999999</c:v>
                </c:pt>
                <c:pt idx="29">
                  <c:v>-6510.03999999911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Балансы!D6</c:f>
              <c:strCache>
                <c:ptCount val="1"/>
                <c:pt idx="0">
                  <c:v>PSP Gamma, дельта</c:v>
                </c:pt>
              </c:strCache>
            </c:strRef>
          </c:tx>
          <c:spPr>
            <a:solidFill>
              <a:srgbClr val="f08a24"/>
            </a:solidFill>
            <a:ln w="21960">
              <a:solidFill>
                <a:srgbClr val="f08a2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Балансы!$A$7:$A$36</c:f>
              <c:strCache>
                <c:ptCount val="30"/>
                <c:pt idx="0">
                  <c:v>01.09</c:v>
                </c:pt>
                <c:pt idx="1">
                  <c:v>02.09</c:v>
                </c:pt>
                <c:pt idx="2">
                  <c:v>03.09</c:v>
                </c:pt>
                <c:pt idx="3">
                  <c:v>04.09</c:v>
                </c:pt>
                <c:pt idx="4">
                  <c:v>05.09</c:v>
                </c:pt>
                <c:pt idx="5">
                  <c:v>06.09</c:v>
                </c:pt>
                <c:pt idx="6">
                  <c:v>07.09</c:v>
                </c:pt>
                <c:pt idx="7">
                  <c:v>08.09</c:v>
                </c:pt>
                <c:pt idx="8">
                  <c:v>09.09</c:v>
                </c:pt>
                <c:pt idx="9">
                  <c:v>10.09</c:v>
                </c:pt>
                <c:pt idx="10">
                  <c:v>11.09</c:v>
                </c:pt>
                <c:pt idx="11">
                  <c:v>12.09</c:v>
                </c:pt>
                <c:pt idx="12">
                  <c:v>13.09</c:v>
                </c:pt>
                <c:pt idx="13">
                  <c:v>14.09</c:v>
                </c:pt>
                <c:pt idx="14">
                  <c:v>15.09</c:v>
                </c:pt>
                <c:pt idx="15">
                  <c:v>16.09</c:v>
                </c:pt>
                <c:pt idx="16">
                  <c:v>17.09</c:v>
                </c:pt>
                <c:pt idx="17">
                  <c:v>18.09</c:v>
                </c:pt>
                <c:pt idx="18">
                  <c:v>19.09</c:v>
                </c:pt>
                <c:pt idx="19">
                  <c:v>20.09</c:v>
                </c:pt>
                <c:pt idx="20">
                  <c:v>21.09</c:v>
                </c:pt>
                <c:pt idx="21">
                  <c:v>22.09</c:v>
                </c:pt>
                <c:pt idx="22">
                  <c:v>23.09</c:v>
                </c:pt>
                <c:pt idx="23">
                  <c:v>24.09</c:v>
                </c:pt>
                <c:pt idx="24">
                  <c:v>25.09</c:v>
                </c:pt>
                <c:pt idx="25">
                  <c:v>26.09</c:v>
                </c:pt>
                <c:pt idx="26">
                  <c:v>27.09</c:v>
                </c:pt>
                <c:pt idx="27">
                  <c:v>28.09</c:v>
                </c:pt>
                <c:pt idx="28">
                  <c:v>29.09</c:v>
                </c:pt>
                <c:pt idx="29">
                  <c:v>30.09</c:v>
                </c:pt>
              </c:strCache>
            </c:strRef>
          </c:cat>
          <c:val>
            <c:numRef>
              <c:f>Балансы!$D$7:$D$36</c:f>
              <c:numCache>
                <c:formatCode>#,##0" ₽";\-#,##0" ₽";\–</c:formatCode>
                <c:ptCount val="30"/>
                <c:pt idx="0">
                  <c:v>-8175.50999999978</c:v>
                </c:pt>
                <c:pt idx="1">
                  <c:v>-14575.5500000003</c:v>
                </c:pt>
                <c:pt idx="2">
                  <c:v>-6770.66000000015</c:v>
                </c:pt>
                <c:pt idx="3">
                  <c:v>1600.77000000048</c:v>
                </c:pt>
                <c:pt idx="4">
                  <c:v>-11211.6200000001</c:v>
                </c:pt>
                <c:pt idx="5">
                  <c:v>-273.639999999665</c:v>
                </c:pt>
                <c:pt idx="6">
                  <c:v>2221.9299999997</c:v>
                </c:pt>
                <c:pt idx="7">
                  <c:v>-1785.93999999948</c:v>
                </c:pt>
                <c:pt idx="8">
                  <c:v>-13458.7000000002</c:v>
                </c:pt>
                <c:pt idx="9">
                  <c:v>-668.120000000112</c:v>
                </c:pt>
                <c:pt idx="10">
                  <c:v>-2978.78000000026</c:v>
                </c:pt>
                <c:pt idx="11">
                  <c:v>3883.37000000011</c:v>
                </c:pt>
                <c:pt idx="12">
                  <c:v>-10524.0800000001</c:v>
                </c:pt>
                <c:pt idx="13">
                  <c:v>-9384.9299999997</c:v>
                </c:pt>
                <c:pt idx="14">
                  <c:v>-18446.46</c:v>
                </c:pt>
                <c:pt idx="15">
                  <c:v>-7310.46999999974</c:v>
                </c:pt>
                <c:pt idx="16">
                  <c:v>-22229.3899999997</c:v>
                </c:pt>
                <c:pt idx="17">
                  <c:v>-18984.5700000012</c:v>
                </c:pt>
                <c:pt idx="18">
                  <c:v>-10195</c:v>
                </c:pt>
                <c:pt idx="19">
                  <c:v>-30338.5899999999</c:v>
                </c:pt>
                <c:pt idx="20">
                  <c:v>-24711.0700000003</c:v>
                </c:pt>
                <c:pt idx="21">
                  <c:v>-18072.3000000007</c:v>
                </c:pt>
                <c:pt idx="22">
                  <c:v>-43669.25</c:v>
                </c:pt>
                <c:pt idx="23">
                  <c:v>-48788.2899999991</c:v>
                </c:pt>
                <c:pt idx="24">
                  <c:v>-54748.0500000007</c:v>
                </c:pt>
                <c:pt idx="25">
                  <c:v>-46984.8899999987</c:v>
                </c:pt>
                <c:pt idx="26">
                  <c:v>-55262.2199999988</c:v>
                </c:pt>
                <c:pt idx="27">
                  <c:v>-46291.3300000001</c:v>
                </c:pt>
                <c:pt idx="28">
                  <c:v>-57379.0600000005</c:v>
                </c:pt>
                <c:pt idx="29">
                  <c:v>-46782.6699999999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370726"/>
        <c:axId val="35042936"/>
      </c:lineChart>
      <c:catAx>
        <c:axId val="72370726"/>
        <c:scaling>
          <c:orientation val="minMax"/>
        </c:scaling>
        <c:delete val="0"/>
        <c:axPos val="b"/>
        <c:numFmt formatCode="dd\.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042936"/>
        <c:crosses val="autoZero"/>
        <c:auto val="1"/>
        <c:lblAlgn val="ctr"/>
        <c:lblOffset val="100"/>
        <c:noMultiLvlLbl val="0"/>
      </c:catAx>
      <c:valAx>
        <c:axId val="350429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707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Оборот по PSP, ₽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'Платёжный отчёт'!C13</c:f>
              <c:strCache>
                <c:ptCount val="1"/>
                <c:pt idx="0">
                  <c:v>Оборот, ₽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'Платёжный отчёт'!$A$14:$A$16</c:f>
              <c:strCache>
                <c:ptCount val="3"/>
                <c:pt idx="0">
                  <c:v>PSP Alfa</c:v>
                </c:pt>
                <c:pt idx="1">
                  <c:v>PSP Beta</c:v>
                </c:pt>
                <c:pt idx="2">
                  <c:v>PSP Gamma</c:v>
                </c:pt>
              </c:strCache>
            </c:strRef>
          </c:cat>
          <c:val>
            <c:numRef>
              <c:f>'Платёжный отчёт'!$C$14:$C$16</c:f>
              <c:numCache>
                <c:formatCode>#,##0" ₽";\-#,##0" ₽";\–</c:formatCode>
                <c:ptCount val="3"/>
                <c:pt idx="0">
                  <c:v>63081038.11</c:v>
                </c:pt>
                <c:pt idx="1">
                  <c:v>39027381.09</c:v>
                </c:pt>
                <c:pt idx="2">
                  <c:v>22017249.52</c:v>
                </c:pt>
              </c:numCache>
            </c:numRef>
          </c:val>
        </c:ser>
        <c:gapWidth val="150"/>
        <c:overlap val="0"/>
        <c:axId val="11419106"/>
        <c:axId val="31212676"/>
      </c:barChart>
      <c:catAx>
        <c:axId val="114191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212676"/>
        <c:crosses val="autoZero"/>
        <c:auto val="1"/>
        <c:lblAlgn val="ctr"/>
        <c:lblOffset val="100"/>
        <c:noMultiLvlLbl val="0"/>
      </c:catAx>
      <c:valAx>
        <c:axId val="312126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191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Доля успешных платежей по регионам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'Платёжный отчёт'!B20</c:f>
              <c:strCache>
                <c:ptCount val="1"/>
                <c:pt idx="0">
                  <c:v>Доля успешных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'Платёжный отчёт'!$A$21:$A$23</c:f>
              <c:strCache>
                <c:ptCount val="3"/>
                <c:pt idx="0">
                  <c:v>Москва</c:v>
                </c:pt>
                <c:pt idx="1">
                  <c:v>Санкт-Петербург</c:v>
                </c:pt>
                <c:pt idx="2">
                  <c:v>Другие регионы</c:v>
                </c:pt>
              </c:strCache>
            </c:strRef>
          </c:cat>
          <c:val>
            <c:numRef>
              <c:f>'Платёжный отчёт'!$B$21:$B$23</c:f>
              <c:numCache>
                <c:formatCode>0.0%</c:formatCode>
                <c:ptCount val="3"/>
                <c:pt idx="0">
                  <c:v>0.897174254317112</c:v>
                </c:pt>
                <c:pt idx="1">
                  <c:v>0.889469453376206</c:v>
                </c:pt>
                <c:pt idx="2">
                  <c:v>0.844944718262955</c:v>
                </c:pt>
              </c:numCache>
            </c:numRef>
          </c:val>
        </c:ser>
        <c:gapWidth val="150"/>
        <c:overlap val="0"/>
        <c:axId val="60385566"/>
        <c:axId val="19142940"/>
      </c:barChart>
      <c:catAx>
        <c:axId val="60385566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142940"/>
        <c:crosses val="autoZero"/>
        <c:auto val="1"/>
        <c:lblAlgn val="ctr"/>
        <c:lblOffset val="100"/>
        <c:noMultiLvlLbl val="0"/>
      </c:catAx>
      <c:valAx>
        <c:axId val="19142940"/>
        <c:scaling>
          <c:orientation val="minMax"/>
          <c:max val="0.95"/>
          <c:min val="0.8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3855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131040</xdr:rowOff>
    </xdr:from>
    <xdr:to>
      <xdr:col>20</xdr:col>
      <xdr:colOff>507600</xdr:colOff>
      <xdr:row>16</xdr:row>
      <xdr:rowOff>141840</xdr:rowOff>
    </xdr:to>
    <xdr:graphicFrame>
      <xdr:nvGraphicFramePr>
        <xdr:cNvPr id="0" name="Chart 1"/>
        <xdr:cNvGraphicFramePr/>
      </xdr:nvGraphicFramePr>
      <xdr:xfrm>
        <a:off x="979740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19</xdr:row>
      <xdr:rowOff>119520</xdr:rowOff>
    </xdr:from>
    <xdr:to>
      <xdr:col>20</xdr:col>
      <xdr:colOff>507600</xdr:colOff>
      <xdr:row>34</xdr:row>
      <xdr:rowOff>141840</xdr:rowOff>
    </xdr:to>
    <xdr:graphicFrame>
      <xdr:nvGraphicFramePr>
        <xdr:cNvPr id="1" name="Chart 2"/>
        <xdr:cNvGraphicFramePr/>
      </xdr:nvGraphicFramePr>
      <xdr:xfrm>
        <a:off x="9797400" y="4000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16</xdr:row>
      <xdr:rowOff>18360</xdr:rowOff>
    </xdr:from>
    <xdr:to>
      <xdr:col>13</xdr:col>
      <xdr:colOff>524520</xdr:colOff>
      <xdr:row>33</xdr:row>
      <xdr:rowOff>19440</xdr:rowOff>
    </xdr:to>
    <xdr:graphicFrame>
      <xdr:nvGraphicFramePr>
        <xdr:cNvPr id="2" name="Chart 1"/>
        <xdr:cNvGraphicFramePr/>
      </xdr:nvGraphicFramePr>
      <xdr:xfrm>
        <a:off x="4017600" y="323856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131040</xdr:rowOff>
    </xdr:from>
    <xdr:to>
      <xdr:col>14</xdr:col>
      <xdr:colOff>86400</xdr:colOff>
      <xdr:row>16</xdr:row>
      <xdr:rowOff>141840</xdr:rowOff>
    </xdr:to>
    <xdr:graphicFrame>
      <xdr:nvGraphicFramePr>
        <xdr:cNvPr id="3" name="Chart 1"/>
        <xdr:cNvGraphicFramePr/>
      </xdr:nvGraphicFramePr>
      <xdr:xfrm>
        <a:off x="6977880" y="571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119160</xdr:rowOff>
    </xdr:from>
    <xdr:to>
      <xdr:col>14</xdr:col>
      <xdr:colOff>86400</xdr:colOff>
      <xdr:row>31</xdr:row>
      <xdr:rowOff>162360</xdr:rowOff>
    </xdr:to>
    <xdr:graphicFrame>
      <xdr:nvGraphicFramePr>
        <xdr:cNvPr id="4" name="Chart 2"/>
        <xdr:cNvGraphicFramePr/>
      </xdr:nvGraphicFramePr>
      <xdr:xfrm>
        <a:off x="6977880" y="3809880"/>
        <a:ext cx="53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4"/>
    <col collapsed="false" customWidth="true" hidden="false" outlineLevel="0" max="6" min="6" style="0" width="3"/>
    <col collapsed="false" customWidth="true" hidden="false" outlineLevel="0" max="7" min="7" style="0" width="16"/>
    <col collapsed="false" customWidth="true" hidden="false" outlineLevel="0" max="13" min="8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2" t="s">
        <v>2</v>
      </c>
      <c r="B4" s="3" t="s">
        <v>3</v>
      </c>
      <c r="C4" s="2" t="s">
        <v>4</v>
      </c>
      <c r="D4" s="4" t="n">
        <v>0.99</v>
      </c>
    </row>
    <row r="6" customFormat="false" ht="15" hidden="false" customHeight="false" outlineLevel="0" collapsed="false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</row>
    <row r="7" customFormat="false" ht="22.05" hidden="false" customHeight="false" outlineLevel="0" collapsed="false">
      <c r="A7" s="6" t="n">
        <f aca="false">SUMIFS(data_сверка!$C$2:$C$91,data_сверка!$B$2:$B$91,IF($B$4="Все","*",$B$4))</f>
        <v>11738</v>
      </c>
      <c r="B7" s="6" t="n">
        <f aca="false">SUMIFS(data_сверка!$D$2:$D$91,data_сверка!$B$2:$B$91,IF($B$4="Все","*",$B$4))</f>
        <v>53</v>
      </c>
      <c r="C7" s="7" t="n">
        <f aca="false">IFERROR(1-B7/A7,0)</f>
        <v>0.99548475038337</v>
      </c>
      <c r="D7" s="6" t="n">
        <f aca="false">COUNTIFS(data_журнал!$C$2:$C$54,IF($B$4="Все","*",$B$4),data_журнал!$H$2:$H$54,"&lt;&gt;Закрыто")</f>
        <v>7</v>
      </c>
      <c r="E7" s="8" t="n">
        <f aca="false">SUMIFS(data_журнал!$F$2:$F$54,data_журнал!$C$2:$C$54,IF($B$4="Все","*",$B$4),data_журнал!$H$2:$H$54,"&lt;&gt;Закрыто")</f>
        <v>56112.32</v>
      </c>
    </row>
    <row r="10" customFormat="false" ht="15" hidden="false" customHeight="false" outlineLevel="0" collapsed="false">
      <c r="A10" s="9" t="s">
        <v>10</v>
      </c>
    </row>
    <row r="11" customFormat="false" ht="23.85" hidden="false" customHeight="false" outlineLevel="0" collapsed="false">
      <c r="A11" s="10" t="s">
        <v>11</v>
      </c>
      <c r="B11" s="11" t="s">
        <v>5</v>
      </c>
      <c r="C11" s="11" t="s">
        <v>6</v>
      </c>
      <c r="D11" s="11" t="s">
        <v>7</v>
      </c>
      <c r="E11" s="11" t="s">
        <v>12</v>
      </c>
    </row>
    <row r="12" customFormat="false" ht="15" hidden="false" customHeight="false" outlineLevel="0" collapsed="false">
      <c r="A12" s="12" t="s">
        <v>13</v>
      </c>
      <c r="B12" s="13" t="n">
        <f aca="false">SUMIFS(data_сверка!$C$2:$C$91,data_сверка!$B$2:$B$91,$A12)</f>
        <v>5699</v>
      </c>
      <c r="C12" s="13" t="n">
        <f aca="false">SUMIFS(data_сверка!$D$2:$D$91,data_сверка!$B$2:$B$91,$A12)</f>
        <v>8</v>
      </c>
      <c r="D12" s="14" t="n">
        <f aca="false">IFERROR(1-C12/B12,0)</f>
        <v>0.998596244955255</v>
      </c>
      <c r="E12" s="13" t="n">
        <f aca="false">COUNTIF($H$19:$H$48,"&lt;"&amp;$D$4)</f>
        <v>1</v>
      </c>
    </row>
    <row r="13" customFormat="false" ht="15" hidden="false" customHeight="false" outlineLevel="0" collapsed="false">
      <c r="A13" s="15" t="s">
        <v>14</v>
      </c>
      <c r="B13" s="13" t="n">
        <f aca="false">SUMIFS(data_сверка!$C$2:$C$91,data_сверка!$B$2:$B$91,$A13)</f>
        <v>3866</v>
      </c>
      <c r="C13" s="13" t="n">
        <f aca="false">SUMIFS(data_сверка!$D$2:$D$91,data_сверка!$B$2:$B$91,$A13)</f>
        <v>7</v>
      </c>
      <c r="D13" s="14" t="n">
        <f aca="false">IFERROR(1-C13/B13,0)</f>
        <v>0.998189342990171</v>
      </c>
      <c r="E13" s="13" t="n">
        <f aca="false">COUNTIF($I$19:$I$48,"&lt;"&amp;$D$4)</f>
        <v>2</v>
      </c>
    </row>
    <row r="14" customFormat="false" ht="15" hidden="false" customHeight="false" outlineLevel="0" collapsed="false">
      <c r="A14" s="16" t="s">
        <v>15</v>
      </c>
      <c r="B14" s="13" t="n">
        <f aca="false">SUMIFS(data_сверка!$C$2:$C$91,data_сверка!$B$2:$B$91,$A14)</f>
        <v>2173</v>
      </c>
      <c r="C14" s="13" t="n">
        <f aca="false">SUMIFS(data_сверка!$D$2:$D$91,data_сверка!$B$2:$B$91,$A14)</f>
        <v>38</v>
      </c>
      <c r="D14" s="14" t="n">
        <f aca="false">IFERROR(1-C14/B14,0)</f>
        <v>0.982512655315232</v>
      </c>
      <c r="E14" s="13" t="n">
        <f aca="false">COUNTIF($J$19:$J$48,"&lt;"&amp;$D$4)</f>
        <v>22</v>
      </c>
    </row>
    <row r="16" customFormat="false" ht="15" hidden="false" customHeight="false" outlineLevel="0" collapsed="false">
      <c r="A16" s="9" t="s">
        <v>16</v>
      </c>
      <c r="G16" s="9" t="s">
        <v>17</v>
      </c>
    </row>
    <row r="17" customFormat="false" ht="15" hidden="false" customHeight="false" outlineLevel="0" collapsed="false">
      <c r="A17" s="10" t="s">
        <v>18</v>
      </c>
      <c r="B17" s="11" t="s">
        <v>13</v>
      </c>
      <c r="C17" s="11" t="s">
        <v>14</v>
      </c>
      <c r="D17" s="11" t="s">
        <v>15</v>
      </c>
    </row>
    <row r="18" customFormat="false" ht="15" hidden="false" customHeight="false" outlineLevel="0" collapsed="false">
      <c r="A18" s="17" t="s">
        <v>19</v>
      </c>
      <c r="B18" s="13" t="n">
        <f aca="false">COUNTIFS(data_журнал!$E$2:$E$54,$A18,data_журнал!$C$2:$C$54,"PSP Alfa")</f>
        <v>2</v>
      </c>
      <c r="C18" s="13" t="n">
        <f aca="false">COUNTIFS(data_журнал!$E$2:$E$54,$A18,data_журнал!$C$2:$C$54,"PSP Beta")</f>
        <v>3</v>
      </c>
      <c r="D18" s="13" t="n">
        <f aca="false">COUNTIFS(data_журнал!$E$2:$E$54,$A18,data_журнал!$C$2:$C$54,"PSP Gamma")</f>
        <v>3</v>
      </c>
      <c r="G18" s="10" t="s">
        <v>20</v>
      </c>
      <c r="H18" s="11" t="s">
        <v>13</v>
      </c>
      <c r="I18" s="11" t="s">
        <v>14</v>
      </c>
      <c r="J18" s="11" t="s">
        <v>15</v>
      </c>
    </row>
    <row r="19" customFormat="false" ht="15" hidden="false" customHeight="false" outlineLevel="0" collapsed="false">
      <c r="A19" s="17" t="s">
        <v>21</v>
      </c>
      <c r="B19" s="13" t="n">
        <f aca="false">COUNTIFS(data_журнал!$E$2:$E$54,$A19,data_журнал!$C$2:$C$54,"PSP Alfa")</f>
        <v>1</v>
      </c>
      <c r="C19" s="13" t="n">
        <f aca="false">COUNTIFS(data_журнал!$E$2:$E$54,$A19,data_журнал!$C$2:$C$54,"PSP Beta")</f>
        <v>2</v>
      </c>
      <c r="D19" s="13" t="n">
        <f aca="false">COUNTIFS(data_журнал!$E$2:$E$54,$A19,data_журнал!$C$2:$C$54,"PSP Gamma")</f>
        <v>9</v>
      </c>
      <c r="G19" s="18" t="n">
        <v>46266</v>
      </c>
      <c r="H19" s="19" t="n">
        <f aca="false">IFERROR(1-SUMIFS(data_сверка!$D$2:$D$91,data_сверка!$A$2:$A$91,$G19,data_сверка!$B$2:$B$91,"PSP Alfa")/SUMIFS(data_сверка!$C$2:$C$91,data_сверка!$A$2:$A$91,$G19,data_сверка!$B$2:$B$91,"PSP Alfa"),"")</f>
        <v>1</v>
      </c>
      <c r="I19" s="19" t="n">
        <f aca="false">IFERROR(1-SUMIFS(data_сверка!$D$2:$D$91,data_сверка!$A$2:$A$91,$G19,data_сверка!$B$2:$B$91,"PSP Beta")/SUMIFS(data_сверка!$C$2:$C$91,data_сверка!$A$2:$A$91,$G19,data_сверка!$B$2:$B$91,"PSP Beta"),"")</f>
        <v>1</v>
      </c>
      <c r="J19" s="19" t="n">
        <f aca="false">IFERROR(1-SUMIFS(data_сверка!$D$2:$D$91,data_сверка!$A$2:$A$91,$G19,data_сверка!$B$2:$B$91,"PSP Gamma")/SUMIFS(data_сверка!$C$2:$C$91,data_сверка!$A$2:$A$91,$G19,data_сверка!$B$2:$B$91,"PSP Gamma"),"")</f>
        <v>0.987012987012987</v>
      </c>
    </row>
    <row r="20" customFormat="false" ht="15" hidden="false" customHeight="false" outlineLevel="0" collapsed="false">
      <c r="A20" s="17" t="s">
        <v>22</v>
      </c>
      <c r="B20" s="13" t="n">
        <f aca="false">COUNTIFS(data_журнал!$E$2:$E$54,$A20,data_журнал!$C$2:$C$54,"PSP Alfa")</f>
        <v>2</v>
      </c>
      <c r="C20" s="13" t="n">
        <f aca="false">COUNTIFS(data_журнал!$E$2:$E$54,$A20,data_журнал!$C$2:$C$54,"PSP Beta")</f>
        <v>0</v>
      </c>
      <c r="D20" s="13" t="n">
        <f aca="false">COUNTIFS(data_журнал!$E$2:$E$54,$A20,data_журнал!$C$2:$C$54,"PSP Gamma")</f>
        <v>10</v>
      </c>
      <c r="G20" s="18" t="n">
        <v>46267</v>
      </c>
      <c r="H20" s="19" t="n">
        <f aca="false">IFERROR(1-SUMIFS(data_сверка!$D$2:$D$91,data_сверка!$A$2:$A$91,$G20,data_сверка!$B$2:$B$91,"PSP Alfa")/SUMIFS(data_сверка!$C$2:$C$91,data_сверка!$A$2:$A$91,$G20,data_сверка!$B$2:$B$91,"PSP Alfa"),"")</f>
        <v>1</v>
      </c>
      <c r="I20" s="19" t="n">
        <f aca="false">IFERROR(1-SUMIFS(data_сверка!$D$2:$D$91,data_сверка!$A$2:$A$91,$G20,data_сверка!$B$2:$B$91,"PSP Beta")/SUMIFS(data_сверка!$C$2:$C$91,data_сверка!$A$2:$A$91,$G20,data_сверка!$B$2:$B$91,"PSP Beta"),"")</f>
        <v>1</v>
      </c>
      <c r="J20" s="19" t="n">
        <f aca="false">IFERROR(1-SUMIFS(data_сверка!$D$2:$D$91,data_сверка!$A$2:$A$91,$G20,data_сверка!$B$2:$B$91,"PSP Gamma")/SUMIFS(data_сверка!$C$2:$C$91,data_сверка!$A$2:$A$91,$G20,data_сверка!$B$2:$B$91,"PSP Gamma"),"")</f>
        <v>0.984375</v>
      </c>
    </row>
    <row r="21" customFormat="false" ht="15" hidden="false" customHeight="false" outlineLevel="0" collapsed="false">
      <c r="A21" s="17" t="s">
        <v>23</v>
      </c>
      <c r="B21" s="13" t="n">
        <f aca="false">COUNTIFS(data_журнал!$E$2:$E$54,$A21,data_журнал!$C$2:$C$54,"PSP Alfa")</f>
        <v>2</v>
      </c>
      <c r="C21" s="13" t="n">
        <f aca="false">COUNTIFS(data_журнал!$E$2:$E$54,$A21,data_журнал!$C$2:$C$54,"PSP Beta")</f>
        <v>1</v>
      </c>
      <c r="D21" s="13" t="n">
        <f aca="false">COUNTIFS(data_журнал!$E$2:$E$54,$A21,data_журнал!$C$2:$C$54,"PSP Gamma")</f>
        <v>7</v>
      </c>
      <c r="G21" s="18" t="n">
        <v>46268</v>
      </c>
      <c r="H21" s="19" t="n">
        <f aca="false">IFERROR(1-SUMIFS(data_сверка!$D$2:$D$91,data_сверка!$A$2:$A$91,$G21,data_сверка!$B$2:$B$91,"PSP Alfa")/SUMIFS(data_сверка!$C$2:$C$91,data_сверка!$A$2:$A$91,$G21,data_сверка!$B$2:$B$91,"PSP Alfa"),"")</f>
        <v>1</v>
      </c>
      <c r="I21" s="19" t="n">
        <f aca="false">IFERROR(1-SUMIFS(data_сверка!$D$2:$D$91,data_сверка!$A$2:$A$91,$G21,data_сверка!$B$2:$B$91,"PSP Beta")/SUMIFS(data_сверка!$C$2:$C$91,data_сверка!$A$2:$A$91,$G21,data_сверка!$B$2:$B$91,"PSP Beta"),"")</f>
        <v>1</v>
      </c>
      <c r="J21" s="19" t="n">
        <f aca="false">IFERROR(1-SUMIFS(data_сверка!$D$2:$D$91,data_сверка!$A$2:$A$91,$G21,data_сверка!$B$2:$B$91,"PSP Gamma")/SUMIFS(data_сверка!$C$2:$C$91,data_сверка!$A$2:$A$91,$G21,data_сверка!$B$2:$B$91,"PSP Gamma"),"")</f>
        <v>0.9875</v>
      </c>
    </row>
    <row r="22" customFormat="false" ht="15" hidden="false" customHeight="false" outlineLevel="0" collapsed="false">
      <c r="A22" s="17" t="s">
        <v>24</v>
      </c>
      <c r="B22" s="13" t="n">
        <f aca="false">COUNTIFS(data_журнал!$E$2:$E$54,$A22,data_журнал!$C$2:$C$54,"PSP Alfa")</f>
        <v>1</v>
      </c>
      <c r="C22" s="13" t="n">
        <f aca="false">COUNTIFS(data_журнал!$E$2:$E$54,$A22,data_журнал!$C$2:$C$54,"PSP Beta")</f>
        <v>1</v>
      </c>
      <c r="D22" s="13" t="n">
        <f aca="false">COUNTIFS(data_журнал!$E$2:$E$54,$A22,data_журнал!$C$2:$C$54,"PSP Gamma")</f>
        <v>9</v>
      </c>
      <c r="G22" s="18" t="n">
        <v>46269</v>
      </c>
      <c r="H22" s="19" t="n">
        <f aca="false">IFERROR(1-SUMIFS(data_сверка!$D$2:$D$91,data_сверка!$A$2:$A$91,$G22,data_сверка!$B$2:$B$91,"PSP Alfa")/SUMIFS(data_сверка!$C$2:$C$91,data_сверка!$A$2:$A$91,$G22,data_сверка!$B$2:$B$91,"PSP Alfa"),"")</f>
        <v>1</v>
      </c>
      <c r="I22" s="19" t="n">
        <f aca="false">IFERROR(1-SUMIFS(data_сверка!$D$2:$D$91,data_сверка!$A$2:$A$91,$G22,data_сверка!$B$2:$B$91,"PSP Beta")/SUMIFS(data_сверка!$C$2:$C$91,data_сверка!$A$2:$A$91,$G22,data_сверка!$B$2:$B$91,"PSP Beta"),"")</f>
        <v>1</v>
      </c>
      <c r="J22" s="19" t="n">
        <f aca="false">IFERROR(1-SUMIFS(data_сверка!$D$2:$D$91,data_сверка!$A$2:$A$91,$G22,data_сверка!$B$2:$B$91,"PSP Gamma")/SUMIFS(data_сверка!$C$2:$C$91,data_сверка!$A$2:$A$91,$G22,data_сверка!$B$2:$B$91,"PSP Gamma"),"")</f>
        <v>1</v>
      </c>
    </row>
    <row r="23" customFormat="false" ht="15" hidden="false" customHeight="false" outlineLevel="0" collapsed="false">
      <c r="G23" s="18" t="n">
        <v>46270</v>
      </c>
      <c r="H23" s="19" t="n">
        <f aca="false">IFERROR(1-SUMIFS(data_сверка!$D$2:$D$91,data_сверка!$A$2:$A$91,$G23,data_сверка!$B$2:$B$91,"PSP Alfa")/SUMIFS(data_сверка!$C$2:$C$91,data_сверка!$A$2:$A$91,$G23,data_сверка!$B$2:$B$91,"PSP Alfa"),"")</f>
        <v>1</v>
      </c>
      <c r="I23" s="19" t="n">
        <f aca="false">IFERROR(1-SUMIFS(data_сверка!$D$2:$D$91,data_сверка!$A$2:$A$91,$G23,data_сверка!$B$2:$B$91,"PSP Beta")/SUMIFS(data_сверка!$C$2:$C$91,data_сверка!$A$2:$A$91,$G23,data_сверка!$B$2:$B$91,"PSP Beta"),"")</f>
        <v>1</v>
      </c>
      <c r="J23" s="19" t="n">
        <f aca="false">IFERROR(1-SUMIFS(data_сверка!$D$2:$D$91,data_сверка!$A$2:$A$91,$G23,data_сверка!$B$2:$B$91,"PSP Gamma")/SUMIFS(data_сверка!$C$2:$C$91,data_сверка!$A$2:$A$91,$G23,data_сверка!$B$2:$B$91,"PSP Gamma"),"")</f>
        <v>1</v>
      </c>
    </row>
    <row r="24" customFormat="false" ht="15" hidden="false" customHeight="false" outlineLevel="0" collapsed="false">
      <c r="G24" s="18" t="n">
        <v>46271</v>
      </c>
      <c r="H24" s="19" t="n">
        <f aca="false">IFERROR(1-SUMIFS(data_сверка!$D$2:$D$91,data_сверка!$A$2:$A$91,$G24,data_сверка!$B$2:$B$91,"PSP Alfa")/SUMIFS(data_сверка!$C$2:$C$91,data_сверка!$A$2:$A$91,$G24,data_сверка!$B$2:$B$91,"PSP Alfa"),"")</f>
        <v>1</v>
      </c>
      <c r="I24" s="19" t="n">
        <f aca="false">IFERROR(1-SUMIFS(data_сверка!$D$2:$D$91,data_сверка!$A$2:$A$91,$G24,data_сверка!$B$2:$B$91,"PSP Beta")/SUMIFS(data_сверка!$C$2:$C$91,data_сверка!$A$2:$A$91,$G24,data_сверка!$B$2:$B$91,"PSP Beta"),"")</f>
        <v>1</v>
      </c>
      <c r="J24" s="19" t="n">
        <f aca="false">IFERROR(1-SUMIFS(data_сверка!$D$2:$D$91,data_сверка!$A$2:$A$91,$G24,data_сверка!$B$2:$B$91,"PSP Gamma")/SUMIFS(data_сверка!$C$2:$C$91,data_сверка!$A$2:$A$91,$G24,data_сверка!$B$2:$B$91,"PSP Gamma"),"")</f>
        <v>0.973333333333333</v>
      </c>
    </row>
    <row r="25" customFormat="false" ht="15" hidden="false" customHeight="false" outlineLevel="0" collapsed="false">
      <c r="A25" s="2" t="s">
        <v>25</v>
      </c>
      <c r="G25" s="18" t="n">
        <v>46272</v>
      </c>
      <c r="H25" s="19" t="n">
        <f aca="false">IFERROR(1-SUMIFS(data_сверка!$D$2:$D$91,data_сверка!$A$2:$A$91,$G25,data_сверка!$B$2:$B$91,"PSP Alfa")/SUMIFS(data_сверка!$C$2:$C$91,data_сверка!$A$2:$A$91,$G25,data_сверка!$B$2:$B$91,"PSP Alfa"),"")</f>
        <v>1</v>
      </c>
      <c r="I25" s="19" t="n">
        <f aca="false">IFERROR(1-SUMIFS(data_сверка!$D$2:$D$91,data_сверка!$A$2:$A$91,$G25,data_сверка!$B$2:$B$91,"PSP Beta")/SUMIFS(data_сверка!$C$2:$C$91,data_сверка!$A$2:$A$91,$G25,data_сверка!$B$2:$B$91,"PSP Beta"),"")</f>
        <v>1</v>
      </c>
      <c r="J25" s="19" t="n">
        <f aca="false">IFERROR(1-SUMIFS(data_сверка!$D$2:$D$91,data_сверка!$A$2:$A$91,$G25,data_сверка!$B$2:$B$91,"PSP Gamma")/SUMIFS(data_сверка!$C$2:$C$91,data_сверка!$A$2:$A$91,$G25,data_сверка!$B$2:$B$91,"PSP Gamma"),"")</f>
        <v>0.953125</v>
      </c>
    </row>
    <row r="26" customFormat="false" ht="15" hidden="false" customHeight="false" outlineLevel="0" collapsed="false">
      <c r="G26" s="18" t="n">
        <v>46273</v>
      </c>
      <c r="H26" s="19" t="n">
        <f aca="false">IFERROR(1-SUMIFS(data_сверка!$D$2:$D$91,data_сверка!$A$2:$A$91,$G26,data_сверка!$B$2:$B$91,"PSP Alfa")/SUMIFS(data_сверка!$C$2:$C$91,data_сверка!$A$2:$A$91,$G26,data_сверка!$B$2:$B$91,"PSP Alfa"),"")</f>
        <v>1</v>
      </c>
      <c r="I26" s="19" t="n">
        <f aca="false">IFERROR(1-SUMIFS(data_сверка!$D$2:$D$91,data_сверка!$A$2:$A$91,$G26,data_сверка!$B$2:$B$91,"PSP Beta")/SUMIFS(data_сверка!$C$2:$C$91,data_сверка!$A$2:$A$91,$G26,data_сверка!$B$2:$B$91,"PSP Beta"),"")</f>
        <v>1</v>
      </c>
      <c r="J26" s="19" t="n">
        <f aca="false">IFERROR(1-SUMIFS(data_сверка!$D$2:$D$91,data_сверка!$A$2:$A$91,$G26,data_сверка!$B$2:$B$91,"PSP Gamma")/SUMIFS(data_сверка!$C$2:$C$91,data_сверка!$A$2:$A$91,$G26,data_сверка!$B$2:$B$91,"PSP Gamma"),"")</f>
        <v>0.983606557377049</v>
      </c>
    </row>
    <row r="27" customFormat="false" ht="15" hidden="false" customHeight="false" outlineLevel="0" collapsed="false">
      <c r="G27" s="18" t="n">
        <v>46274</v>
      </c>
      <c r="H27" s="19" t="n">
        <f aca="false">IFERROR(1-SUMIFS(data_сверка!$D$2:$D$91,data_сверка!$A$2:$A$91,$G27,data_сверка!$B$2:$B$91,"PSP Alfa")/SUMIFS(data_сверка!$C$2:$C$91,data_сверка!$A$2:$A$91,$G27,data_сверка!$B$2:$B$91,"PSP Alfa"),"")</f>
        <v>1</v>
      </c>
      <c r="I27" s="19" t="n">
        <f aca="false">IFERROR(1-SUMIFS(data_сверка!$D$2:$D$91,data_сверка!$A$2:$A$91,$G27,data_сверка!$B$2:$B$91,"PSP Beta")/SUMIFS(data_сверка!$C$2:$C$91,data_сверка!$A$2:$A$91,$G27,data_сверка!$B$2:$B$91,"PSP Beta"),"")</f>
        <v>1</v>
      </c>
      <c r="J27" s="19" t="n">
        <f aca="false">IFERROR(1-SUMIFS(data_сверка!$D$2:$D$91,data_сверка!$A$2:$A$91,$G27,data_сверка!$B$2:$B$91,"PSP Gamma")/SUMIFS(data_сверка!$C$2:$C$91,data_сверка!$A$2:$A$91,$G27,data_сверка!$B$2:$B$91,"PSP Gamma"),"")</f>
        <v>0.983870967741936</v>
      </c>
    </row>
    <row r="28" customFormat="false" ht="15" hidden="false" customHeight="false" outlineLevel="0" collapsed="false">
      <c r="G28" s="18" t="n">
        <v>46275</v>
      </c>
      <c r="H28" s="19" t="n">
        <f aca="false">IFERROR(1-SUMIFS(data_сверка!$D$2:$D$91,data_сверка!$A$2:$A$91,$G28,data_сверка!$B$2:$B$91,"PSP Alfa")/SUMIFS(data_сверка!$C$2:$C$91,data_сверка!$A$2:$A$91,$G28,data_сверка!$B$2:$B$91,"PSP Alfa"),"")</f>
        <v>0.995238095238095</v>
      </c>
      <c r="I28" s="19" t="n">
        <f aca="false">IFERROR(1-SUMIFS(data_сверка!$D$2:$D$91,data_сверка!$A$2:$A$91,$G28,data_сверка!$B$2:$B$91,"PSP Beta")/SUMIFS(data_сверка!$C$2:$C$91,data_сверка!$A$2:$A$91,$G28,data_сверка!$B$2:$B$91,"PSP Beta"),"")</f>
        <v>1</v>
      </c>
      <c r="J28" s="19" t="n">
        <f aca="false">IFERROR(1-SUMIFS(data_сверка!$D$2:$D$91,data_сверка!$A$2:$A$91,$G28,data_сверка!$B$2:$B$91,"PSP Gamma")/SUMIFS(data_сверка!$C$2:$C$91,data_сверка!$A$2:$A$91,$G28,data_сверка!$B$2:$B$91,"PSP Gamma"),"")</f>
        <v>1</v>
      </c>
    </row>
    <row r="29" customFormat="false" ht="15" hidden="false" customHeight="false" outlineLevel="0" collapsed="false">
      <c r="G29" s="18" t="n">
        <v>46276</v>
      </c>
      <c r="H29" s="19" t="n">
        <f aca="false">IFERROR(1-SUMIFS(data_сверка!$D$2:$D$91,data_сверка!$A$2:$A$91,$G29,data_сверка!$B$2:$B$91,"PSP Alfa")/SUMIFS(data_сверка!$C$2:$C$91,data_сверка!$A$2:$A$91,$G29,data_сверка!$B$2:$B$91,"PSP Alfa"),"")</f>
        <v>0.987012987012987</v>
      </c>
      <c r="I29" s="19" t="n">
        <f aca="false">IFERROR(1-SUMIFS(data_сверка!$D$2:$D$91,data_сверка!$A$2:$A$91,$G29,data_сверка!$B$2:$B$91,"PSP Beta")/SUMIFS(data_сверка!$C$2:$C$91,data_сверка!$A$2:$A$91,$G29,data_сверка!$B$2:$B$91,"PSP Beta"),"")</f>
        <v>1</v>
      </c>
      <c r="J29" s="19" t="n">
        <f aca="false">IFERROR(1-SUMIFS(data_сверка!$D$2:$D$91,data_сверка!$A$2:$A$91,$G29,data_сверка!$B$2:$B$91,"PSP Gamma")/SUMIFS(data_сверка!$C$2:$C$91,data_сверка!$A$2:$A$91,$G29,data_сверка!$B$2:$B$91,"PSP Gamma"),"")</f>
        <v>0.969230769230769</v>
      </c>
    </row>
    <row r="30" customFormat="false" ht="15" hidden="false" customHeight="false" outlineLevel="0" collapsed="false">
      <c r="G30" s="18" t="n">
        <v>46277</v>
      </c>
      <c r="H30" s="19" t="n">
        <f aca="false">IFERROR(1-SUMIFS(data_сверка!$D$2:$D$91,data_сверка!$A$2:$A$91,$G30,data_сверка!$B$2:$B$91,"PSP Alfa")/SUMIFS(data_сверка!$C$2:$C$91,data_сверка!$A$2:$A$91,$G30,data_сверка!$B$2:$B$91,"PSP Alfa"),"")</f>
        <v>1</v>
      </c>
      <c r="I30" s="19" t="n">
        <f aca="false">IFERROR(1-SUMIFS(data_сверка!$D$2:$D$91,data_сверка!$A$2:$A$91,$G30,data_сверка!$B$2:$B$91,"PSP Beta")/SUMIFS(data_сверка!$C$2:$C$91,data_сверка!$A$2:$A$91,$G30,data_сверка!$B$2:$B$91,"PSP Beta"),"")</f>
        <v>1</v>
      </c>
      <c r="J30" s="19" t="n">
        <f aca="false">IFERROR(1-SUMIFS(data_сверка!$D$2:$D$91,data_сверка!$A$2:$A$91,$G30,data_сверка!$B$2:$B$91,"PSP Gamma")/SUMIFS(data_сверка!$C$2:$C$91,data_сверка!$A$2:$A$91,$G30,data_сверка!$B$2:$B$91,"PSP Gamma"),"")</f>
        <v>0.985714285714286</v>
      </c>
    </row>
    <row r="31" customFormat="false" ht="15" hidden="false" customHeight="false" outlineLevel="0" collapsed="false">
      <c r="G31" s="18" t="n">
        <v>46278</v>
      </c>
      <c r="H31" s="19" t="n">
        <f aca="false">IFERROR(1-SUMIFS(data_сверка!$D$2:$D$91,data_сверка!$A$2:$A$91,$G31,data_сверка!$B$2:$B$91,"PSP Alfa")/SUMIFS(data_сверка!$C$2:$C$91,data_сверка!$A$2:$A$91,$G31,data_сверка!$B$2:$B$91,"PSP Alfa"),"")</f>
        <v>1</v>
      </c>
      <c r="I31" s="19" t="n">
        <f aca="false">IFERROR(1-SUMIFS(data_сверка!$D$2:$D$91,data_сверка!$A$2:$A$91,$G31,data_сверка!$B$2:$B$91,"PSP Beta")/SUMIFS(data_сверка!$C$2:$C$91,data_сверка!$A$2:$A$91,$G31,data_сверка!$B$2:$B$91,"PSP Beta"),"")</f>
        <v>1</v>
      </c>
      <c r="J31" s="19" t="n">
        <f aca="false">IFERROR(1-SUMIFS(data_сверка!$D$2:$D$91,data_сверка!$A$2:$A$91,$G31,data_сверка!$B$2:$B$91,"PSP Gamma")/SUMIFS(data_сверка!$C$2:$C$91,data_сверка!$A$2:$A$91,$G31,data_сверка!$B$2:$B$91,"PSP Gamma"),"")</f>
        <v>0.975308641975309</v>
      </c>
    </row>
    <row r="32" customFormat="false" ht="15" hidden="false" customHeight="false" outlineLevel="0" collapsed="false">
      <c r="G32" s="18" t="n">
        <v>46279</v>
      </c>
      <c r="H32" s="19" t="n">
        <f aca="false">IFERROR(1-SUMIFS(data_сверка!$D$2:$D$91,data_сверка!$A$2:$A$91,$G32,data_сверка!$B$2:$B$91,"PSP Alfa")/SUMIFS(data_сверка!$C$2:$C$91,data_сверка!$A$2:$A$91,$G32,data_сверка!$B$2:$B$91,"PSP Alfa"),"")</f>
        <v>1</v>
      </c>
      <c r="I32" s="19" t="n">
        <f aca="false">IFERROR(1-SUMIFS(data_сверка!$D$2:$D$91,data_сверка!$A$2:$A$91,$G32,data_сверка!$B$2:$B$91,"PSP Beta")/SUMIFS(data_сверка!$C$2:$C$91,data_сверка!$A$2:$A$91,$G32,data_сверка!$B$2:$B$91,"PSP Beta"),"")</f>
        <v>1</v>
      </c>
      <c r="J32" s="19" t="n">
        <f aca="false">IFERROR(1-SUMIFS(data_сверка!$D$2:$D$91,data_сверка!$A$2:$A$91,$G32,data_сверка!$B$2:$B$91,"PSP Gamma")/SUMIFS(data_сверка!$C$2:$C$91,data_сверка!$A$2:$A$91,$G32,data_сверка!$B$2:$B$91,"PSP Gamma"),"")</f>
        <v>0.971014492753623</v>
      </c>
    </row>
    <row r="33" customFormat="false" ht="15" hidden="false" customHeight="false" outlineLevel="0" collapsed="false">
      <c r="G33" s="18" t="n">
        <v>46280</v>
      </c>
      <c r="H33" s="19" t="n">
        <f aca="false">IFERROR(1-SUMIFS(data_сверка!$D$2:$D$91,data_сверка!$A$2:$A$91,$G33,data_сверка!$B$2:$B$91,"PSP Alfa")/SUMIFS(data_сверка!$C$2:$C$91,data_сверка!$A$2:$A$91,$G33,data_сверка!$B$2:$B$91,"PSP Alfa"),"")</f>
        <v>1</v>
      </c>
      <c r="I33" s="19" t="n">
        <f aca="false">IFERROR(1-SUMIFS(data_сверка!$D$2:$D$91,data_сверка!$A$2:$A$91,$G33,data_сверка!$B$2:$B$91,"PSP Beta")/SUMIFS(data_сверка!$C$2:$C$91,data_сверка!$A$2:$A$91,$G33,data_сверка!$B$2:$B$91,"PSP Beta"),"")</f>
        <v>1</v>
      </c>
      <c r="J33" s="19" t="n">
        <f aca="false">IFERROR(1-SUMIFS(data_сверка!$D$2:$D$91,data_сверка!$A$2:$A$91,$G33,data_сверка!$B$2:$B$91,"PSP Gamma")/SUMIFS(data_сверка!$C$2:$C$91,data_сверка!$A$2:$A$91,$G33,data_сверка!$B$2:$B$91,"PSP Gamma"),"")</f>
        <v>0.926470588235294</v>
      </c>
    </row>
    <row r="34" customFormat="false" ht="15" hidden="false" customHeight="false" outlineLevel="0" collapsed="false">
      <c r="G34" s="18" t="n">
        <v>46281</v>
      </c>
      <c r="H34" s="19" t="n">
        <f aca="false">IFERROR(1-SUMIFS(data_сверка!$D$2:$D$91,data_сверка!$A$2:$A$91,$G34,data_сверка!$B$2:$B$91,"PSP Alfa")/SUMIFS(data_сверка!$C$2:$C$91,data_сверка!$A$2:$A$91,$G34,data_сверка!$B$2:$B$91,"PSP Alfa"),"")</f>
        <v>1</v>
      </c>
      <c r="I34" s="19" t="n">
        <f aca="false">IFERROR(1-SUMIFS(data_сверка!$D$2:$D$91,data_сверка!$A$2:$A$91,$G34,data_сверка!$B$2:$B$91,"PSP Beta")/SUMIFS(data_сверка!$C$2:$C$91,data_сверка!$A$2:$A$91,$G34,data_сверка!$B$2:$B$91,"PSP Beta"),"")</f>
        <v>0.983739837398374</v>
      </c>
      <c r="J34" s="19" t="n">
        <f aca="false">IFERROR(1-SUMIFS(data_сверка!$D$2:$D$91,data_сверка!$A$2:$A$91,$G34,data_сверка!$B$2:$B$91,"PSP Gamma")/SUMIFS(data_сверка!$C$2:$C$91,data_сверка!$A$2:$A$91,$G34,data_сверка!$B$2:$B$91,"PSP Gamma"),"")</f>
        <v>0.967213114754098</v>
      </c>
    </row>
    <row r="35" customFormat="false" ht="15" hidden="false" customHeight="false" outlineLevel="0" collapsed="false">
      <c r="G35" s="18" t="n">
        <v>46282</v>
      </c>
      <c r="H35" s="19" t="n">
        <f aca="false">IFERROR(1-SUMIFS(data_сверка!$D$2:$D$91,data_сверка!$A$2:$A$91,$G35,data_сверка!$B$2:$B$91,"PSP Alfa")/SUMIFS(data_сверка!$C$2:$C$91,data_сверка!$A$2:$A$91,$G35,data_сверка!$B$2:$B$91,"PSP Alfa"),"")</f>
        <v>1</v>
      </c>
      <c r="I35" s="19" t="n">
        <f aca="false">IFERROR(1-SUMIFS(data_сверка!$D$2:$D$91,data_сверка!$A$2:$A$91,$G35,data_сверка!$B$2:$B$91,"PSP Beta")/SUMIFS(data_сверка!$C$2:$C$91,data_сверка!$A$2:$A$91,$G35,data_сверка!$B$2:$B$91,"PSP Beta"),"")</f>
        <v>0.984496124031008</v>
      </c>
      <c r="J35" s="19" t="n">
        <f aca="false">IFERROR(1-SUMIFS(data_сверка!$D$2:$D$91,data_сверка!$A$2:$A$91,$G35,data_сверка!$B$2:$B$91,"PSP Gamma")/SUMIFS(data_сверка!$C$2:$C$91,data_сверка!$A$2:$A$91,$G35,data_сверка!$B$2:$B$91,"PSP Gamma"),"")</f>
        <v>0.975</v>
      </c>
    </row>
    <row r="36" customFormat="false" ht="15" hidden="false" customHeight="false" outlineLevel="0" collapsed="false">
      <c r="G36" s="18" t="n">
        <v>46283</v>
      </c>
      <c r="H36" s="19" t="n">
        <f aca="false">IFERROR(1-SUMIFS(data_сверка!$D$2:$D$91,data_сверка!$A$2:$A$91,$G36,data_сверка!$B$2:$B$91,"PSP Alfa")/SUMIFS(data_сверка!$C$2:$C$91,data_сверка!$A$2:$A$91,$G36,data_сверка!$B$2:$B$91,"PSP Alfa"),"")</f>
        <v>1</v>
      </c>
      <c r="I36" s="19" t="n">
        <f aca="false">IFERROR(1-SUMIFS(data_сверка!$D$2:$D$91,data_сверка!$A$2:$A$91,$G36,data_сверка!$B$2:$B$91,"PSP Beta")/SUMIFS(data_сверка!$C$2:$C$91,data_сверка!$A$2:$A$91,$G36,data_сверка!$B$2:$B$91,"PSP Beta"),"")</f>
        <v>1</v>
      </c>
      <c r="J36" s="19" t="n">
        <f aca="false">IFERROR(1-SUMIFS(data_сверка!$D$2:$D$91,data_сверка!$A$2:$A$91,$G36,data_сверка!$B$2:$B$91,"PSP Gamma")/SUMIFS(data_сверка!$C$2:$C$91,data_сверка!$A$2:$A$91,$G36,data_сверка!$B$2:$B$91,"PSP Gamma"),"")</f>
        <v>1</v>
      </c>
    </row>
    <row r="37" customFormat="false" ht="15" hidden="false" customHeight="false" outlineLevel="0" collapsed="false">
      <c r="G37" s="18" t="n">
        <v>46284</v>
      </c>
      <c r="H37" s="19" t="n">
        <f aca="false">IFERROR(1-SUMIFS(data_сверка!$D$2:$D$91,data_сверка!$A$2:$A$91,$G37,data_сверка!$B$2:$B$91,"PSP Alfa")/SUMIFS(data_сверка!$C$2:$C$91,data_сверка!$A$2:$A$91,$G37,data_сверка!$B$2:$B$91,"PSP Alfa"),"")</f>
        <v>0.994949494949495</v>
      </c>
      <c r="I37" s="19" t="n">
        <f aca="false">IFERROR(1-SUMIFS(data_сверка!$D$2:$D$91,data_сверка!$A$2:$A$91,$G37,data_сверка!$B$2:$B$91,"PSP Beta")/SUMIFS(data_сверка!$C$2:$C$91,data_сверка!$A$2:$A$91,$G37,data_сверка!$B$2:$B$91,"PSP Beta"),"")</f>
        <v>0.993506493506494</v>
      </c>
      <c r="J37" s="19" t="n">
        <f aca="false">IFERROR(1-SUMIFS(data_сверка!$D$2:$D$91,data_сверка!$A$2:$A$91,$G37,data_сверка!$B$2:$B$91,"PSP Gamma")/SUMIFS(data_сверка!$C$2:$C$91,data_сверка!$A$2:$A$91,$G37,data_сверка!$B$2:$B$91,"PSP Gamma"),"")</f>
        <v>0.978021978021978</v>
      </c>
    </row>
    <row r="38" customFormat="false" ht="15" hidden="false" customHeight="false" outlineLevel="0" collapsed="false">
      <c r="G38" s="18" t="n">
        <v>46285</v>
      </c>
      <c r="H38" s="19" t="n">
        <f aca="false">IFERROR(1-SUMIFS(data_сверка!$D$2:$D$91,data_сверка!$A$2:$A$91,$G38,data_сверка!$B$2:$B$91,"PSP Alfa")/SUMIFS(data_сверка!$C$2:$C$91,data_сверка!$A$2:$A$91,$G38,data_сверка!$B$2:$B$91,"PSP Alfa"),"")</f>
        <v>0.994791666666667</v>
      </c>
      <c r="I38" s="19" t="n">
        <f aca="false">IFERROR(1-SUMIFS(data_сверка!$D$2:$D$91,data_сверка!$A$2:$A$91,$G38,data_сверка!$B$2:$B$91,"PSP Beta")/SUMIFS(data_сверка!$C$2:$C$91,data_сверка!$A$2:$A$91,$G38,data_сверка!$B$2:$B$91,"PSP Beta"),"")</f>
        <v>0.992481203007519</v>
      </c>
      <c r="J38" s="19" t="n">
        <f aca="false">IFERROR(1-SUMIFS(data_сверка!$D$2:$D$91,data_сверка!$A$2:$A$91,$G38,data_сверка!$B$2:$B$91,"PSP Gamma")/SUMIFS(data_сверка!$C$2:$C$91,data_сверка!$A$2:$A$91,$G38,data_сверка!$B$2:$B$91,"PSP Gamma"),"")</f>
        <v>1</v>
      </c>
    </row>
    <row r="39" customFormat="false" ht="15" hidden="false" customHeight="false" outlineLevel="0" collapsed="false">
      <c r="G39" s="18" t="n">
        <v>46286</v>
      </c>
      <c r="H39" s="19" t="n">
        <f aca="false">IFERROR(1-SUMIFS(data_сверка!$D$2:$D$91,data_сверка!$A$2:$A$91,$G39,data_сверка!$B$2:$B$91,"PSP Alfa")/SUMIFS(data_сверка!$C$2:$C$91,data_сверка!$A$2:$A$91,$G39,data_сверка!$B$2:$B$91,"PSP Alfa"),"")</f>
        <v>1</v>
      </c>
      <c r="I39" s="19" t="n">
        <f aca="false">IFERROR(1-SUMIFS(data_сверка!$D$2:$D$91,data_сверка!$A$2:$A$91,$G39,data_сверка!$B$2:$B$91,"PSP Beta")/SUMIFS(data_сверка!$C$2:$C$91,data_сверка!$A$2:$A$91,$G39,data_сверка!$B$2:$B$91,"PSP Beta"),"")</f>
        <v>1</v>
      </c>
      <c r="J39" s="19" t="n">
        <f aca="false">IFERROR(1-SUMIFS(data_сверка!$D$2:$D$91,data_сверка!$A$2:$A$91,$G39,data_сверка!$B$2:$B$91,"PSP Gamma")/SUMIFS(data_сверка!$C$2:$C$91,data_сверка!$A$2:$A$91,$G39,data_сверка!$B$2:$B$91,"PSP Gamma"),"")</f>
        <v>0.983870967741936</v>
      </c>
    </row>
    <row r="40" customFormat="false" ht="15" hidden="false" customHeight="false" outlineLevel="0" collapsed="false">
      <c r="G40" s="18" t="n">
        <v>46287</v>
      </c>
      <c r="H40" s="19" t="n">
        <f aca="false">IFERROR(1-SUMIFS(data_сверка!$D$2:$D$91,data_сверка!$A$2:$A$91,$G40,data_сверка!$B$2:$B$91,"PSP Alfa")/SUMIFS(data_сверка!$C$2:$C$91,data_сверка!$A$2:$A$91,$G40,data_сверка!$B$2:$B$91,"PSP Alfa"),"")</f>
        <v>0.994082840236686</v>
      </c>
      <c r="I40" s="19" t="n">
        <f aca="false">IFERROR(1-SUMIFS(data_сверка!$D$2:$D$91,data_сверка!$A$2:$A$91,$G40,data_сверка!$B$2:$B$91,"PSP Beta")/SUMIFS(data_сверка!$C$2:$C$91,data_сверка!$A$2:$A$91,$G40,data_сверка!$B$2:$B$91,"PSP Beta"),"")</f>
        <v>1</v>
      </c>
      <c r="J40" s="19" t="n">
        <f aca="false">IFERROR(1-SUMIFS(data_сверка!$D$2:$D$91,data_сверка!$A$2:$A$91,$G40,data_сверка!$B$2:$B$91,"PSP Gamma")/SUMIFS(data_сверка!$C$2:$C$91,data_сверка!$A$2:$A$91,$G40,data_сверка!$B$2:$B$91,"PSP Gamma"),"")</f>
        <v>1</v>
      </c>
    </row>
    <row r="41" customFormat="false" ht="15" hidden="false" customHeight="false" outlineLevel="0" collapsed="false">
      <c r="G41" s="18" t="n">
        <v>46288</v>
      </c>
      <c r="H41" s="19" t="n">
        <f aca="false">IFERROR(1-SUMIFS(data_сверка!$D$2:$D$91,data_сверка!$A$2:$A$91,$G41,data_сверка!$B$2:$B$91,"PSP Alfa")/SUMIFS(data_сверка!$C$2:$C$91,data_сверка!$A$2:$A$91,$G41,data_сверка!$B$2:$B$91,"PSP Alfa"),"")</f>
        <v>0.994186046511628</v>
      </c>
      <c r="I41" s="19" t="n">
        <f aca="false">IFERROR(1-SUMIFS(data_сверка!$D$2:$D$91,data_сверка!$A$2:$A$91,$G41,data_сверка!$B$2:$B$91,"PSP Beta")/SUMIFS(data_сверка!$C$2:$C$91,data_сверка!$A$2:$A$91,$G41,data_сверка!$B$2:$B$91,"PSP Beta"),"")</f>
        <v>1</v>
      </c>
      <c r="J41" s="19" t="n">
        <f aca="false">IFERROR(1-SUMIFS(data_сверка!$D$2:$D$91,data_сверка!$A$2:$A$91,$G41,data_сверка!$B$2:$B$91,"PSP Gamma")/SUMIFS(data_сверка!$C$2:$C$91,data_сверка!$A$2:$A$91,$G41,data_сверка!$B$2:$B$91,"PSP Gamma"),"")</f>
        <v>0.987804878048781</v>
      </c>
    </row>
    <row r="42" customFormat="false" ht="15" hidden="false" customHeight="false" outlineLevel="0" collapsed="false">
      <c r="G42" s="18" t="n">
        <v>46289</v>
      </c>
      <c r="H42" s="19" t="n">
        <f aca="false">IFERROR(1-SUMIFS(data_сверка!$D$2:$D$91,data_сверка!$A$2:$A$91,$G42,data_сверка!$B$2:$B$91,"PSP Alfa")/SUMIFS(data_сверка!$C$2:$C$91,data_сверка!$A$2:$A$91,$G42,data_сверка!$B$2:$B$91,"PSP Alfa"),"")</f>
        <v>1</v>
      </c>
      <c r="I42" s="19" t="n">
        <f aca="false">IFERROR(1-SUMIFS(data_сверка!$D$2:$D$91,data_сверка!$A$2:$A$91,$G42,data_сверка!$B$2:$B$91,"PSP Beta")/SUMIFS(data_сверка!$C$2:$C$91,data_сверка!$A$2:$A$91,$G42,data_сверка!$B$2:$B$91,"PSP Beta"),"")</f>
        <v>1</v>
      </c>
      <c r="J42" s="19" t="n">
        <f aca="false">IFERROR(1-SUMIFS(data_сверка!$D$2:$D$91,data_сверка!$A$2:$A$91,$G42,data_сверка!$B$2:$B$91,"PSP Gamma")/SUMIFS(data_сверка!$C$2:$C$91,data_сверка!$A$2:$A$91,$G42,data_сверка!$B$2:$B$91,"PSP Gamma"),"")</f>
        <v>1</v>
      </c>
    </row>
    <row r="43" customFormat="false" ht="15" hidden="false" customHeight="false" outlineLevel="0" collapsed="false">
      <c r="G43" s="18" t="n">
        <v>46290</v>
      </c>
      <c r="H43" s="19" t="n">
        <f aca="false">IFERROR(1-SUMIFS(data_сверка!$D$2:$D$91,data_сверка!$A$2:$A$91,$G43,data_сверка!$B$2:$B$91,"PSP Alfa")/SUMIFS(data_сверка!$C$2:$C$91,data_сверка!$A$2:$A$91,$G43,data_сверка!$B$2:$B$91,"PSP Alfa"),"")</f>
        <v>0.994505494505495</v>
      </c>
      <c r="I43" s="19" t="n">
        <f aca="false">IFERROR(1-SUMIFS(data_сверка!$D$2:$D$91,data_сверка!$A$2:$A$91,$G43,data_сверка!$B$2:$B$91,"PSP Beta")/SUMIFS(data_сверка!$C$2:$C$91,data_сверка!$A$2:$A$91,$G43,data_сверка!$B$2:$B$91,"PSP Beta"),"")</f>
        <v>1</v>
      </c>
      <c r="J43" s="19" t="n">
        <f aca="false">IFERROR(1-SUMIFS(data_сверка!$D$2:$D$91,data_сверка!$A$2:$A$91,$G43,data_сверка!$B$2:$B$91,"PSP Gamma")/SUMIFS(data_сверка!$C$2:$C$91,data_сверка!$A$2:$A$91,$G43,data_сверка!$B$2:$B$91,"PSP Gamma"),"")</f>
        <v>1</v>
      </c>
    </row>
    <row r="44" customFormat="false" ht="15" hidden="false" customHeight="false" outlineLevel="0" collapsed="false">
      <c r="G44" s="18" t="n">
        <v>46291</v>
      </c>
      <c r="H44" s="19" t="n">
        <f aca="false">IFERROR(1-SUMIFS(data_сверка!$D$2:$D$91,data_сверка!$A$2:$A$91,$G44,data_сверка!$B$2:$B$91,"PSP Alfa")/SUMIFS(data_сверка!$C$2:$C$91,data_сверка!$A$2:$A$91,$G44,data_сверка!$B$2:$B$91,"PSP Alfa"),"")</f>
        <v>1</v>
      </c>
      <c r="I44" s="19" t="n">
        <f aca="false">IFERROR(1-SUMIFS(data_сверка!$D$2:$D$91,data_сверка!$A$2:$A$91,$G44,data_сверка!$B$2:$B$91,"PSP Beta")/SUMIFS(data_сверка!$C$2:$C$91,data_сверка!$A$2:$A$91,$G44,data_сверка!$B$2:$B$91,"PSP Beta"),"")</f>
        <v>1</v>
      </c>
      <c r="J44" s="19" t="n">
        <f aca="false">IFERROR(1-SUMIFS(data_сверка!$D$2:$D$91,data_сверка!$A$2:$A$91,$G44,data_сверка!$B$2:$B$91,"PSP Gamma")/SUMIFS(data_сверка!$C$2:$C$91,data_сверка!$A$2:$A$91,$G44,data_сверка!$B$2:$B$91,"PSP Gamma"),"")</f>
        <v>0.9875</v>
      </c>
    </row>
    <row r="45" customFormat="false" ht="15" hidden="false" customHeight="false" outlineLevel="0" collapsed="false">
      <c r="G45" s="18" t="n">
        <v>46292</v>
      </c>
      <c r="H45" s="19" t="n">
        <f aca="false">IFERROR(1-SUMIFS(data_сверка!$D$2:$D$91,data_сверка!$A$2:$A$91,$G45,data_сверка!$B$2:$B$91,"PSP Alfa")/SUMIFS(data_сверка!$C$2:$C$91,data_сверка!$A$2:$A$91,$G45,data_сверка!$B$2:$B$91,"PSP Alfa"),"")</f>
        <v>1</v>
      </c>
      <c r="I45" s="19" t="n">
        <f aca="false">IFERROR(1-SUMIFS(data_сверка!$D$2:$D$91,data_сверка!$A$2:$A$91,$G45,data_сверка!$B$2:$B$91,"PSP Beta")/SUMIFS(data_сверка!$C$2:$C$91,data_сверка!$A$2:$A$91,$G45,data_сверка!$B$2:$B$91,"PSP Beta"),"")</f>
        <v>0.993589743589744</v>
      </c>
      <c r="J45" s="19" t="n">
        <f aca="false">IFERROR(1-SUMIFS(data_сверка!$D$2:$D$91,data_сверка!$A$2:$A$91,$G45,data_сверка!$B$2:$B$91,"PSP Gamma")/SUMIFS(data_сверка!$C$2:$C$91,data_сверка!$A$2:$A$91,$G45,data_сверка!$B$2:$B$91,"PSP Gamma"),"")</f>
        <v>0.989583333333333</v>
      </c>
    </row>
    <row r="46" customFormat="false" ht="15" hidden="false" customHeight="false" outlineLevel="0" collapsed="false">
      <c r="G46" s="18" t="n">
        <v>46293</v>
      </c>
      <c r="H46" s="19" t="n">
        <f aca="false">IFERROR(1-SUMIFS(data_сверка!$D$2:$D$91,data_сверка!$A$2:$A$91,$G46,data_сверка!$B$2:$B$91,"PSP Alfa")/SUMIFS(data_сверка!$C$2:$C$91,data_сверка!$A$2:$A$91,$G46,data_сверка!$B$2:$B$91,"PSP Alfa"),"")</f>
        <v>1</v>
      </c>
      <c r="I46" s="19" t="n">
        <f aca="false">IFERROR(1-SUMIFS(data_сверка!$D$2:$D$91,data_сверка!$A$2:$A$91,$G46,data_сверка!$B$2:$B$91,"PSP Beta")/SUMIFS(data_сверка!$C$2:$C$91,data_сверка!$A$2:$A$91,$G46,data_сверка!$B$2:$B$91,"PSP Beta"),"")</f>
        <v>1</v>
      </c>
      <c r="J46" s="19" t="n">
        <f aca="false">IFERROR(1-SUMIFS(data_сверка!$D$2:$D$91,data_сверка!$A$2:$A$91,$G46,data_сверка!$B$2:$B$91,"PSP Gamma")/SUMIFS(data_сверка!$C$2:$C$91,data_сверка!$A$2:$A$91,$G46,data_сверка!$B$2:$B$91,"PSP Gamma"),"")</f>
        <v>0.974025974025974</v>
      </c>
    </row>
    <row r="47" customFormat="false" ht="15" hidden="false" customHeight="false" outlineLevel="0" collapsed="false">
      <c r="G47" s="18" t="n">
        <v>46294</v>
      </c>
      <c r="H47" s="19" t="n">
        <f aca="false">IFERROR(1-SUMIFS(data_сверка!$D$2:$D$91,data_сверка!$A$2:$A$91,$G47,data_сверка!$B$2:$B$91,"PSP Alfa")/SUMIFS(data_сверка!$C$2:$C$91,data_сверка!$A$2:$A$91,$G47,data_сверка!$B$2:$B$91,"PSP Alfa"),"")</f>
        <v>1</v>
      </c>
      <c r="I47" s="19" t="n">
        <f aca="false">IFERROR(1-SUMIFS(data_сверка!$D$2:$D$91,data_сверка!$A$2:$A$91,$G47,data_сверка!$B$2:$B$91,"PSP Beta")/SUMIFS(data_сверка!$C$2:$C$91,data_сверка!$A$2:$A$91,$G47,data_сверка!$B$2:$B$91,"PSP Beta"),"")</f>
        <v>1</v>
      </c>
      <c r="J47" s="19" t="n">
        <f aca="false">IFERROR(1-SUMIFS(data_сверка!$D$2:$D$91,data_сверка!$A$2:$A$91,$G47,data_сверка!$B$2:$B$91,"PSP Gamma")/SUMIFS(data_сверка!$C$2:$C$91,data_сверка!$A$2:$A$91,$G47,data_сверка!$B$2:$B$91,"PSP Gamma"),"")</f>
        <v>0.967213114754098</v>
      </c>
    </row>
    <row r="48" customFormat="false" ht="15" hidden="false" customHeight="false" outlineLevel="0" collapsed="false">
      <c r="G48" s="18" t="n">
        <v>46295</v>
      </c>
      <c r="H48" s="19" t="n">
        <f aca="false">IFERROR(1-SUMIFS(data_сверка!$D$2:$D$91,data_сверка!$A$2:$A$91,$G48,data_сверка!$B$2:$B$91,"PSP Alfa")/SUMIFS(data_сверка!$C$2:$C$91,data_сверка!$A$2:$A$91,$G48,data_сверка!$B$2:$B$91,"PSP Alfa"),"")</f>
        <v>1</v>
      </c>
      <c r="I48" s="19" t="n">
        <f aca="false">IFERROR(1-SUMIFS(data_сверка!$D$2:$D$91,data_сверка!$A$2:$A$91,$G48,data_сверка!$B$2:$B$91,"PSP Beta")/SUMIFS(data_сверка!$C$2:$C$91,data_сверка!$A$2:$A$91,$G48,data_сверка!$B$2:$B$91,"PSP Beta"),"")</f>
        <v>1</v>
      </c>
      <c r="J48" s="19" t="n">
        <f aca="false">IFERROR(1-SUMIFS(data_сверка!$D$2:$D$91,data_сверка!$A$2:$A$91,$G48,data_сверка!$B$2:$B$91,"PSP Gamma")/SUMIFS(data_сверка!$C$2:$C$91,data_сверка!$A$2:$A$91,$G48,data_сверка!$B$2:$B$91,"PSP Gamma"),"")</f>
        <v>0.973333333333333</v>
      </c>
    </row>
  </sheetData>
  <conditionalFormatting sqref="D12:D14">
    <cfRule type="cellIs" priority="2" operator="lessThan" aboveAverage="0" equalAverage="0" bottom="0" percent="0" rank="0" text="" dxfId="0">
      <formula>$D$4</formula>
    </cfRule>
  </conditionalFormatting>
  <conditionalFormatting sqref="H19:J48">
    <cfRule type="cellIs" priority="3" operator="lessThan" aboveAverage="0" equalAverage="0" bottom="0" percent="0" rank="0" text="" dxfId="0">
      <formula>$D$4</formula>
    </cfRule>
  </conditionalFormatting>
  <dataValidations count="1">
    <dataValidation allowBlank="false" errorStyle="stop" operator="between" showDropDown="false" showErrorMessage="false" showInputMessage="false" sqref="B4" type="list">
      <formula1>"Все,PSP Alfa,PSP Beta,PSP Gamma"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7"/>
    <col collapsed="false" customWidth="true" hidden="false" outlineLevel="0" max="6" min="5" style="0" width="13"/>
    <col collapsed="false" customWidth="true" hidden="false" outlineLevel="0" max="7" min="7" style="0" width="54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15" hidden="false" customHeight="false" outlineLevel="0" collapsed="false">
      <c r="A4" s="2" t="s">
        <v>28</v>
      </c>
      <c r="B4" s="3" t="s">
        <v>3</v>
      </c>
    </row>
    <row r="6" customFormat="false" ht="15" hidden="false" customHeight="false" outlineLevel="0" collapsed="false">
      <c r="A6" s="10" t="s">
        <v>29</v>
      </c>
      <c r="B6" s="11" t="s">
        <v>20</v>
      </c>
      <c r="C6" s="11" t="s">
        <v>11</v>
      </c>
      <c r="D6" s="11" t="s">
        <v>30</v>
      </c>
      <c r="E6" s="11" t="s">
        <v>18</v>
      </c>
      <c r="F6" s="11" t="s">
        <v>31</v>
      </c>
      <c r="G6" s="11" t="s">
        <v>32</v>
      </c>
      <c r="H6" s="11" t="s">
        <v>19</v>
      </c>
    </row>
    <row r="7" customFormat="false" ht="15" hidden="false" customHeight="false" outlineLevel="0" collapsed="false">
      <c r="A7" s="17" t="str">
        <f aca="false">IF(OR($B$4="Все",data_журнал!$H$2=$B$4),data_журнал!A2,"")</f>
        <v>BR-001</v>
      </c>
      <c r="B7" s="20" t="n">
        <f aca="false">IF(OR($B$4="Все",data_журнал!$H$2=$B$4),data_журнал!B2,"")</f>
        <v>46266</v>
      </c>
      <c r="C7" s="17" t="str">
        <f aca="false">IF(OR($B$4="Все",data_журнал!$H$2=$B$4),data_журнал!C2,"")</f>
        <v>PSP Gamma</v>
      </c>
      <c r="D7" s="17" t="str">
        <f aca="false">IF(OR($B$4="Все",data_журнал!$H$2=$B$4),data_журнал!D2,"")</f>
        <v>GAM-0901-0000</v>
      </c>
      <c r="E7" s="17" t="str">
        <f aca="false">IF(OR($B$4="Все",data_журнал!$H$2=$B$4),data_журнал!E2,"")</f>
        <v>Нет в учёте</v>
      </c>
      <c r="F7" s="21" t="n">
        <f aca="false">IF(OR($B$4="Все",data_журнал!$H$2=$B$4),data_журнал!F2,"")</f>
        <v>10601.75</v>
      </c>
      <c r="G7" s="17" t="str">
        <f aca="false">IF(OR($B$4="Все",data_журнал!$H$2=$B$4),data_журнал!G2,"")</f>
        <v>Возврат (refund) не загрузился во внутренний учёт</v>
      </c>
      <c r="H7" s="17" t="str">
        <f aca="false">IF(OR($B$4="Все",data_журнал!$H$2=$B$4),data_журнал!H2,"")</f>
        <v>Закрыто</v>
      </c>
    </row>
    <row r="8" customFormat="false" ht="15" hidden="false" customHeight="false" outlineLevel="0" collapsed="false">
      <c r="A8" s="17" t="str">
        <f aca="false">IF(OR($B$4="Все",data_журнал!$H$3=$B$4),data_журнал!A3,"")</f>
        <v>BR-002</v>
      </c>
      <c r="B8" s="20" t="n">
        <f aca="false">IF(OR($B$4="Все",data_журнал!$H$3=$B$4),data_журнал!B3,"")</f>
        <v>46267</v>
      </c>
      <c r="C8" s="17" t="str">
        <f aca="false">IF(OR($B$4="Все",data_журнал!$H$3=$B$4),data_журнал!C3,"")</f>
        <v>PSP Gamma</v>
      </c>
      <c r="D8" s="17" t="str">
        <f aca="false">IF(OR($B$4="Все",data_журнал!$H$3=$B$4),data_журнал!D3,"")</f>
        <v>GAM-0902-0000</v>
      </c>
      <c r="E8" s="17" t="str">
        <f aca="false">IF(OR($B$4="Все",data_журнал!$H$3=$B$4),data_журнал!E3,"")</f>
        <v>Нет у PSP</v>
      </c>
      <c r="F8" s="21" t="n">
        <f aca="false">IF(OR($B$4="Все",data_журнал!$H$3=$B$4),data_журнал!F3,"")</f>
        <v>11527.01</v>
      </c>
      <c r="G8" s="17" t="str">
        <f aca="false">IF(OR($B$4="Все",data_журнал!$H$3=$B$4),data_журнал!G3,"")</f>
        <v>Транзакция попала в выписку следующего дня (cut-off)</v>
      </c>
      <c r="H8" s="17" t="str">
        <f aca="false">IF(OR($B$4="Все",data_журнал!$H$3=$B$4),data_журнал!H3,"")</f>
        <v>Закрыто</v>
      </c>
    </row>
    <row r="9" customFormat="false" ht="15" hidden="false" customHeight="false" outlineLevel="0" collapsed="false">
      <c r="A9" s="17" t="str">
        <f aca="false">IF(OR($B$4="Все",data_журнал!$H$4=$B$4),data_журнал!A4,"")</f>
        <v>BR-003</v>
      </c>
      <c r="B9" s="20" t="n">
        <f aca="false">IF(OR($B$4="Все",data_журнал!$H$4=$B$4),data_журнал!B4,"")</f>
        <v>46268</v>
      </c>
      <c r="C9" s="17" t="str">
        <f aca="false">IF(OR($B$4="Все",data_журнал!$H$4=$B$4),data_журнал!C4,"")</f>
        <v>PSP Gamma</v>
      </c>
      <c r="D9" s="17" t="str">
        <f aca="false">IF(OR($B$4="Все",data_журнал!$H$4=$B$4),data_журнал!D4,"")</f>
        <v>GAM-0903-0000</v>
      </c>
      <c r="E9" s="17" t="str">
        <f aca="false">IF(OR($B$4="Все",data_журнал!$H$4=$B$4),data_журнал!E4,"")</f>
        <v>Нет у PSP</v>
      </c>
      <c r="F9" s="21" t="n">
        <f aca="false">IF(OR($B$4="Все",data_журнал!$H$4=$B$4),data_журнал!F4,"")</f>
        <v>12598.96</v>
      </c>
      <c r="G9" s="17" t="str">
        <f aca="false">IF(OR($B$4="Все",data_журнал!$H$4=$B$4),data_журнал!G4,"")</f>
        <v>Транзакция попала в выписку следующего дня (cut-off)</v>
      </c>
      <c r="H9" s="17" t="str">
        <f aca="false">IF(OR($B$4="Все",data_журнал!$H$4=$B$4),data_журнал!H4,"")</f>
        <v>Закрыто</v>
      </c>
    </row>
    <row r="10" customFormat="false" ht="15" hidden="false" customHeight="false" outlineLevel="0" collapsed="false">
      <c r="A10" s="17" t="str">
        <f aca="false">IF(OR($B$4="Все",data_журнал!$H$5=$B$4),data_журнал!A5,"")</f>
        <v>BR-004</v>
      </c>
      <c r="B10" s="20" t="n">
        <f aca="false">IF(OR($B$4="Все",data_журнал!$H$5=$B$4),data_журнал!B5,"")</f>
        <v>46271</v>
      </c>
      <c r="C10" s="17" t="str">
        <f aca="false">IF(OR($B$4="Все",data_журнал!$H$5=$B$4),data_журнал!C5,"")</f>
        <v>PSP Gamma</v>
      </c>
      <c r="D10" s="17" t="str">
        <f aca="false">IF(OR($B$4="Все",data_журнал!$H$5=$B$4),data_журнал!D5,"")</f>
        <v>GAM-0906-0000</v>
      </c>
      <c r="E10" s="17" t="str">
        <f aca="false">IF(OR($B$4="Все",data_журнал!$H$5=$B$4),data_журнал!E5,"")</f>
        <v>Комиссия</v>
      </c>
      <c r="F10" s="21" t="n">
        <f aca="false">IF(OR($B$4="Все",data_журнал!$H$5=$B$4),data_журнал!F5,"")</f>
        <v>888.5</v>
      </c>
      <c r="G10" s="17" t="str">
        <f aca="false">IF(OR($B$4="Все",data_журнал!$H$5=$B$4),data_журнал!G5,"")</f>
        <v>PSP применил старую тарифную сетку</v>
      </c>
      <c r="H10" s="17" t="str">
        <f aca="false">IF(OR($B$4="Все",data_журнал!$H$5=$B$4),data_журнал!H5,"")</f>
        <v>Закрыто</v>
      </c>
    </row>
    <row r="11" customFormat="false" ht="15" hidden="false" customHeight="false" outlineLevel="0" collapsed="false">
      <c r="A11" s="17" t="str">
        <f aca="false">IF(OR($B$4="Все",data_журнал!$H$6=$B$4),data_журнал!A6,"")</f>
        <v>BR-005</v>
      </c>
      <c r="B11" s="20" t="n">
        <f aca="false">IF(OR($B$4="Все",data_журнал!$H$6=$B$4),data_журнал!B6,"")</f>
        <v>46271</v>
      </c>
      <c r="C11" s="17" t="str">
        <f aca="false">IF(OR($B$4="Все",data_журнал!$H$6=$B$4),data_журнал!C6,"")</f>
        <v>PSP Gamma</v>
      </c>
      <c r="D11" s="17" t="str">
        <f aca="false">IF(OR($B$4="Все",data_журнал!$H$6=$B$4),data_журнал!D6,"")</f>
        <v>GAM-0906-0001</v>
      </c>
      <c r="E11" s="17" t="str">
        <f aca="false">IF(OR($B$4="Все",data_журнал!$H$6=$B$4),data_журнал!E6,"")</f>
        <v>Нет в учёте</v>
      </c>
      <c r="F11" s="21" t="n">
        <f aca="false">IF(OR($B$4="Все",data_журнал!$H$6=$B$4),data_журнал!F6,"")</f>
        <v>15744</v>
      </c>
      <c r="G11" s="17" t="str">
        <f aca="false">IF(OR($B$4="Все",data_журнал!$H$6=$B$4),data_журнал!G6,"")</f>
        <v>Возврат (refund) не загрузился во внутренний учёт</v>
      </c>
      <c r="H11" s="17" t="str">
        <f aca="false">IF(OR($B$4="Все",data_журнал!$H$6=$B$4),data_журнал!H6,"")</f>
        <v>Закрыто</v>
      </c>
    </row>
    <row r="12" customFormat="false" ht="15" hidden="false" customHeight="false" outlineLevel="0" collapsed="false">
      <c r="A12" s="17" t="str">
        <f aca="false">IF(OR($B$4="Все",data_журнал!$H$7=$B$4),data_журнал!A7,"")</f>
        <v>BR-006</v>
      </c>
      <c r="B12" s="20" t="n">
        <f aca="false">IF(OR($B$4="Все",data_журнал!$H$7=$B$4),data_журнал!B7,"")</f>
        <v>46272</v>
      </c>
      <c r="C12" s="17" t="str">
        <f aca="false">IF(OR($B$4="Все",data_журнал!$H$7=$B$4),data_журнал!C7,"")</f>
        <v>PSP Gamma</v>
      </c>
      <c r="D12" s="17" t="str">
        <f aca="false">IF(OR($B$4="Все",data_журнал!$H$7=$B$4),data_журнал!D7,"")</f>
        <v>GAM-0907-0000</v>
      </c>
      <c r="E12" s="17" t="str">
        <f aca="false">IF(OR($B$4="Все",data_журнал!$H$7=$B$4),data_журнал!E7,"")</f>
        <v>Нет в учёте</v>
      </c>
      <c r="F12" s="21" t="n">
        <f aca="false">IF(OR($B$4="Все",data_журнал!$H$7=$B$4),data_журнал!F7,"")</f>
        <v>9718.19</v>
      </c>
      <c r="G12" s="17" t="str">
        <f aca="false">IF(OR($B$4="Все",data_журнал!$H$7=$B$4),data_журнал!G7,"")</f>
        <v>Возврат (refund) не загрузился во внутренний учёт</v>
      </c>
      <c r="H12" s="17" t="str">
        <f aca="false">IF(OR($B$4="Все",data_журнал!$H$7=$B$4),data_журнал!H7,"")</f>
        <v>Закрыто</v>
      </c>
    </row>
    <row r="13" customFormat="false" ht="15" hidden="false" customHeight="false" outlineLevel="0" collapsed="false">
      <c r="A13" s="17" t="str">
        <f aca="false">IF(OR($B$4="Все",data_журнал!$H$8=$B$4),data_журнал!A8,"")</f>
        <v>BR-007</v>
      </c>
      <c r="B13" s="20" t="n">
        <f aca="false">IF(OR($B$4="Все",data_журнал!$H$8=$B$4),data_журнал!B8,"")</f>
        <v>46272</v>
      </c>
      <c r="C13" s="17" t="str">
        <f aca="false">IF(OR($B$4="Все",data_журнал!$H$8=$B$4),data_журнал!C8,"")</f>
        <v>PSP Gamma</v>
      </c>
      <c r="D13" s="17" t="str">
        <f aca="false">IF(OR($B$4="Все",data_журнал!$H$8=$B$4),data_журнал!D8,"")</f>
        <v>GAM-0907-0001</v>
      </c>
      <c r="E13" s="17" t="str">
        <f aca="false">IF(OR($B$4="Все",data_журнал!$H$8=$B$4),data_журнал!E8,"")</f>
        <v>Сумма</v>
      </c>
      <c r="F13" s="21" t="n">
        <f aca="false">IF(OR($B$4="Все",data_журнал!$H$8=$B$4),data_журнал!F8,"")</f>
        <v>1727.97</v>
      </c>
      <c r="G13" s="17" t="str">
        <f aca="false">IF(OR($B$4="Все",data_журнал!$H$8=$B$4),data_журнал!G8,"")</f>
        <v>Частичный возврат у PSP не отражён во внутреннем учёте</v>
      </c>
      <c r="H13" s="17" t="str">
        <f aca="false">IF(OR($B$4="Все",data_журнал!$H$8=$B$4),data_журнал!H8,"")</f>
        <v>Закрыто</v>
      </c>
    </row>
    <row r="14" customFormat="false" ht="15" hidden="false" customHeight="false" outlineLevel="0" collapsed="false">
      <c r="A14" s="17" t="str">
        <f aca="false">IF(OR($B$4="Все",data_журнал!$H$9=$B$4),data_журнал!A9,"")</f>
        <v>BR-008</v>
      </c>
      <c r="B14" s="20" t="n">
        <f aca="false">IF(OR($B$4="Все",data_журнал!$H$9=$B$4),data_журнал!B9,"")</f>
        <v>46272</v>
      </c>
      <c r="C14" s="17" t="str">
        <f aca="false">IF(OR($B$4="Все",data_журнал!$H$9=$B$4),data_журнал!C9,"")</f>
        <v>PSP Gamma</v>
      </c>
      <c r="D14" s="17" t="str">
        <f aca="false">IF(OR($B$4="Все",data_журнал!$H$9=$B$4),data_журнал!D9,"")</f>
        <v>GAM-0907-0002</v>
      </c>
      <c r="E14" s="17" t="str">
        <f aca="false">IF(OR($B$4="Все",data_журнал!$H$9=$B$4),data_журнал!E9,"")</f>
        <v>Комиссия</v>
      </c>
      <c r="F14" s="21" t="n">
        <f aca="false">IF(OR($B$4="Все",data_журнал!$H$9=$B$4),data_журнал!F9,"")</f>
        <v>635.96</v>
      </c>
      <c r="G14" s="17" t="str">
        <f aca="false">IF(OR($B$4="Все",data_журнал!$H$9=$B$4),data_журнал!G9,"")</f>
        <v>PSP применил старую тарифную сетку</v>
      </c>
      <c r="H14" s="17" t="str">
        <f aca="false">IF(OR($B$4="Все",data_журнал!$H$9=$B$4),data_журнал!H9,"")</f>
        <v>Закрыто</v>
      </c>
    </row>
    <row r="15" customFormat="false" ht="15" hidden="false" customHeight="false" outlineLevel="0" collapsed="false">
      <c r="A15" s="17" t="str">
        <f aca="false">IF(OR($B$4="Все",data_журнал!$H$10=$B$4),data_журнал!A10,"")</f>
        <v>BR-009</v>
      </c>
      <c r="B15" s="20" t="n">
        <f aca="false">IF(OR($B$4="Все",data_журнал!$H$10=$B$4),data_журнал!B10,"")</f>
        <v>46273</v>
      </c>
      <c r="C15" s="17" t="str">
        <f aca="false">IF(OR($B$4="Все",data_журнал!$H$10=$B$4),data_журнал!C10,"")</f>
        <v>PSP Gamma</v>
      </c>
      <c r="D15" s="17" t="str">
        <f aca="false">IF(OR($B$4="Все",data_журнал!$H$10=$B$4),data_журнал!D10,"")</f>
        <v>GAM-0908-0000</v>
      </c>
      <c r="E15" s="17" t="str">
        <f aca="false">IF(OR($B$4="Все",data_журнал!$H$10=$B$4),data_журнал!E10,"")</f>
        <v>Нет в учёте</v>
      </c>
      <c r="F15" s="21" t="n">
        <f aca="false">IF(OR($B$4="Все",data_журнал!$H$10=$B$4),data_журнал!F10,"")</f>
        <v>14693.71</v>
      </c>
      <c r="G15" s="17" t="str">
        <f aca="false">IF(OR($B$4="Все",data_журнал!$H$10=$B$4),data_журнал!G10,"")</f>
        <v>Возврат (refund) не загрузился во внутренний учёт</v>
      </c>
      <c r="H15" s="17" t="str">
        <f aca="false">IF(OR($B$4="Все",data_журнал!$H$10=$B$4),data_журнал!H10,"")</f>
        <v>Закрыто</v>
      </c>
    </row>
    <row r="16" customFormat="false" ht="15" hidden="false" customHeight="false" outlineLevel="0" collapsed="false">
      <c r="A16" s="17" t="str">
        <f aca="false">IF(OR($B$4="Все",data_журнал!$H$11=$B$4),data_журнал!A11,"")</f>
        <v>BR-010</v>
      </c>
      <c r="B16" s="20" t="n">
        <f aca="false">IF(OR($B$4="Все",data_журнал!$H$11=$B$4),data_журнал!B11,"")</f>
        <v>46274</v>
      </c>
      <c r="C16" s="17" t="str">
        <f aca="false">IF(OR($B$4="Все",data_журнал!$H$11=$B$4),data_журнал!C11,"")</f>
        <v>PSP Gamma</v>
      </c>
      <c r="D16" s="17" t="str">
        <f aca="false">IF(OR($B$4="Все",data_журнал!$H$11=$B$4),data_журнал!D11,"")</f>
        <v>GAM-0909-0000</v>
      </c>
      <c r="E16" s="17" t="str">
        <f aca="false">IF(OR($B$4="Все",data_журнал!$H$11=$B$4),data_журнал!E11,"")</f>
        <v>Комиссия</v>
      </c>
      <c r="F16" s="21" t="n">
        <f aca="false">IF(OR($B$4="Все",data_журнал!$H$11=$B$4),data_журнал!F11,"")</f>
        <v>352.9</v>
      </c>
      <c r="G16" s="17" t="str">
        <f aca="false">IF(OR($B$4="Все",data_журнал!$H$11=$B$4),data_журнал!G11,"")</f>
        <v>PSP применил старую тарифную сетку</v>
      </c>
      <c r="H16" s="17" t="str">
        <f aca="false">IF(OR($B$4="Все",data_журнал!$H$11=$B$4),data_журнал!H11,"")</f>
        <v>Закрыто</v>
      </c>
    </row>
    <row r="17" customFormat="false" ht="15" hidden="false" customHeight="false" outlineLevel="0" collapsed="false">
      <c r="A17" s="17" t="str">
        <f aca="false">IF(OR($B$4="Все",data_журнал!$H$12=$B$4),data_журнал!A12,"")</f>
        <v>BR-011</v>
      </c>
      <c r="B17" s="20" t="n">
        <f aca="false">IF(OR($B$4="Все",data_журнал!$H$12=$B$4),data_журнал!B12,"")</f>
        <v>46275</v>
      </c>
      <c r="C17" s="17" t="str">
        <f aca="false">IF(OR($B$4="Все",data_журнал!$H$12=$B$4),data_журнал!C12,"")</f>
        <v>PSP Alfa</v>
      </c>
      <c r="D17" s="17" t="str">
        <f aca="false">IF(OR($B$4="Все",data_журнал!$H$12=$B$4),data_журнал!D12,"")</f>
        <v>ALF-0910-0000</v>
      </c>
      <c r="E17" s="17" t="str">
        <f aca="false">IF(OR($B$4="Все",data_журнал!$H$12=$B$4),data_журнал!E12,"")</f>
        <v>Сумма</v>
      </c>
      <c r="F17" s="21" t="n">
        <f aca="false">IF(OR($B$4="Все",data_журнал!$H$12=$B$4),data_журнал!F12,"")</f>
        <v>1866.01</v>
      </c>
      <c r="G17" s="17" t="str">
        <f aca="false">IF(OR($B$4="Все",data_журнал!$H$12=$B$4),data_журнал!G12,"")</f>
        <v>Частичный возврат у PSP не отражён во внутреннем учёте</v>
      </c>
      <c r="H17" s="17" t="str">
        <f aca="false">IF(OR($B$4="Все",data_журнал!$H$12=$B$4),data_журнал!H12,"")</f>
        <v>Закрыто</v>
      </c>
    </row>
    <row r="18" customFormat="false" ht="15" hidden="false" customHeight="false" outlineLevel="0" collapsed="false">
      <c r="A18" s="17" t="str">
        <f aca="false">IF(OR($B$4="Все",data_журнал!$H$13=$B$4),data_журнал!A13,"")</f>
        <v>BR-012</v>
      </c>
      <c r="B18" s="20" t="n">
        <f aca="false">IF(OR($B$4="Все",data_журнал!$H$13=$B$4),data_журнал!B13,"")</f>
        <v>46276</v>
      </c>
      <c r="C18" s="17" t="str">
        <f aca="false">IF(OR($B$4="Все",data_журнал!$H$13=$B$4),data_журнал!C13,"")</f>
        <v>PSP Alfa</v>
      </c>
      <c r="D18" s="17" t="str">
        <f aca="false">IF(OR($B$4="Все",data_журнал!$H$13=$B$4),data_журнал!D13,"")</f>
        <v>ALF-0911-0000</v>
      </c>
      <c r="E18" s="17" t="str">
        <f aca="false">IF(OR($B$4="Все",data_журнал!$H$13=$B$4),data_журнал!E13,"")</f>
        <v>Нет в учёте</v>
      </c>
      <c r="F18" s="21" t="n">
        <f aca="false">IF(OR($B$4="Все",data_журнал!$H$13=$B$4),data_журнал!F13,"")</f>
        <v>18992.04</v>
      </c>
      <c r="G18" s="17" t="str">
        <f aca="false">IF(OR($B$4="Все",data_журнал!$H$13=$B$4),data_журнал!G13,"")</f>
        <v>Возврат (refund) не загрузился во внутренний учёт</v>
      </c>
      <c r="H18" s="17" t="str">
        <f aca="false">IF(OR($B$4="Все",data_журнал!$H$13=$B$4),data_журнал!H13,"")</f>
        <v>Закрыто</v>
      </c>
    </row>
    <row r="19" customFormat="false" ht="15" hidden="false" customHeight="false" outlineLevel="0" collapsed="false">
      <c r="A19" s="17" t="str">
        <f aca="false">IF(OR($B$4="Все",data_журнал!$H$14=$B$4),data_журнал!A14,"")</f>
        <v>BR-013</v>
      </c>
      <c r="B19" s="20" t="n">
        <f aca="false">IF(OR($B$4="Все",data_журнал!$H$14=$B$4),data_журнал!B14,"")</f>
        <v>46276</v>
      </c>
      <c r="C19" s="17" t="str">
        <f aca="false">IF(OR($B$4="Все",data_журнал!$H$14=$B$4),data_журнал!C14,"")</f>
        <v>PSP Alfa</v>
      </c>
      <c r="D19" s="17" t="str">
        <f aca="false">IF(OR($B$4="Все",data_журнал!$H$14=$B$4),data_журнал!D14,"")</f>
        <v>ALF-0911-0001</v>
      </c>
      <c r="E19" s="17" t="str">
        <f aca="false">IF(OR($B$4="Все",data_журнал!$H$14=$B$4),data_журнал!E14,"")</f>
        <v>Статус</v>
      </c>
      <c r="F19" s="21" t="n">
        <f aca="false">IF(OR($B$4="Все",data_журнал!$H$14=$B$4),data_журнал!F14,"")</f>
        <v>20467.64</v>
      </c>
      <c r="G19" s="17" t="str">
        <f aca="false">IF(OR($B$4="Все",data_журнал!$H$14=$B$4),data_журнал!G14,"")</f>
        <v>Таймаут: у нас success, у PSP failed — PSP подтвердил позже</v>
      </c>
      <c r="H19" s="17" t="str">
        <f aca="false">IF(OR($B$4="Все",data_журнал!$H$14=$B$4),data_журнал!H14,"")</f>
        <v>Закрыто</v>
      </c>
    </row>
    <row r="20" customFormat="false" ht="15" hidden="false" customHeight="false" outlineLevel="0" collapsed="false">
      <c r="A20" s="17" t="str">
        <f aca="false">IF(OR($B$4="Все",data_журнал!$H$15=$B$4),data_журнал!A15,"")</f>
        <v>BR-014</v>
      </c>
      <c r="B20" s="20" t="n">
        <f aca="false">IF(OR($B$4="Все",data_журнал!$H$15=$B$4),data_журнал!B15,"")</f>
        <v>46276</v>
      </c>
      <c r="C20" s="17" t="str">
        <f aca="false">IF(OR($B$4="Все",data_журнал!$H$15=$B$4),data_журнал!C15,"")</f>
        <v>PSP Gamma</v>
      </c>
      <c r="D20" s="17" t="str">
        <f aca="false">IF(OR($B$4="Все",data_журнал!$H$15=$B$4),data_журнал!D15,"")</f>
        <v>GAM-0911-0000</v>
      </c>
      <c r="E20" s="17" t="str">
        <f aca="false">IF(OR($B$4="Все",data_журнал!$H$15=$B$4),data_журнал!E15,"")</f>
        <v>Комиссия</v>
      </c>
      <c r="F20" s="21" t="n">
        <f aca="false">IF(OR($B$4="Все",data_журнал!$H$15=$B$4),data_журнал!F15,"")</f>
        <v>889.42</v>
      </c>
      <c r="G20" s="17" t="str">
        <f aca="false">IF(OR($B$4="Все",data_журнал!$H$15=$B$4),data_журнал!G15,"")</f>
        <v>PSP применил старую тарифную сетку</v>
      </c>
      <c r="H20" s="17" t="str">
        <f aca="false">IF(OR($B$4="Все",data_журнал!$H$15=$B$4),data_журнал!H15,"")</f>
        <v>Закрыто</v>
      </c>
    </row>
    <row r="21" customFormat="false" ht="15" hidden="false" customHeight="false" outlineLevel="0" collapsed="false">
      <c r="A21" s="17" t="str">
        <f aca="false">IF(OR($B$4="Все",data_журнал!$H$16=$B$4),data_журнал!A16,"")</f>
        <v>BR-015</v>
      </c>
      <c r="B21" s="20" t="n">
        <f aca="false">IF(OR($B$4="Все",data_журнал!$H$16=$B$4),data_журнал!B16,"")</f>
        <v>46276</v>
      </c>
      <c r="C21" s="17" t="str">
        <f aca="false">IF(OR($B$4="Все",data_журнал!$H$16=$B$4),data_журнал!C16,"")</f>
        <v>PSP Gamma</v>
      </c>
      <c r="D21" s="17" t="str">
        <f aca="false">IF(OR($B$4="Все",data_журнал!$H$16=$B$4),data_журнал!D16,"")</f>
        <v>GAM-0911-0001</v>
      </c>
      <c r="E21" s="17" t="str">
        <f aca="false">IF(OR($B$4="Все",data_журнал!$H$16=$B$4),data_журнал!E16,"")</f>
        <v>Нет в учёте</v>
      </c>
      <c r="F21" s="21" t="n">
        <f aca="false">IF(OR($B$4="Все",data_журнал!$H$16=$B$4),data_журнал!F16,"")</f>
        <v>5269.25</v>
      </c>
      <c r="G21" s="17" t="str">
        <f aca="false">IF(OR($B$4="Все",data_журнал!$H$16=$B$4),data_журнал!G16,"")</f>
        <v>Возврат (refund) не загрузился во внутренний учёт</v>
      </c>
      <c r="H21" s="17" t="str">
        <f aca="false">IF(OR($B$4="Все",data_журнал!$H$16=$B$4),data_журнал!H16,"")</f>
        <v>Закрыто</v>
      </c>
    </row>
    <row r="22" customFormat="false" ht="15" hidden="false" customHeight="false" outlineLevel="0" collapsed="false">
      <c r="A22" s="17" t="str">
        <f aca="false">IF(OR($B$4="Все",data_журнал!$H$17=$B$4),data_журнал!A17,"")</f>
        <v>BR-016</v>
      </c>
      <c r="B22" s="20" t="n">
        <f aca="false">IF(OR($B$4="Все",data_журнал!$H$17=$B$4),data_журнал!B17,"")</f>
        <v>46277</v>
      </c>
      <c r="C22" s="17" t="str">
        <f aca="false">IF(OR($B$4="Все",data_журнал!$H$17=$B$4),data_журнал!C17,"")</f>
        <v>PSP Gamma</v>
      </c>
      <c r="D22" s="17" t="str">
        <f aca="false">IF(OR($B$4="Все",data_журнал!$H$17=$B$4),data_журнал!D17,"")</f>
        <v>GAM-0912-0000</v>
      </c>
      <c r="E22" s="17" t="str">
        <f aca="false">IF(OR($B$4="Все",data_журнал!$H$17=$B$4),data_журнал!E17,"")</f>
        <v>Сумма</v>
      </c>
      <c r="F22" s="21" t="n">
        <f aca="false">IF(OR($B$4="Все",data_журнал!$H$17=$B$4),data_журнал!F17,"")</f>
        <v>2592.94</v>
      </c>
      <c r="G22" s="17" t="str">
        <f aca="false">IF(OR($B$4="Все",data_журнал!$H$17=$B$4),data_журнал!G17,"")</f>
        <v>Частичный возврат у PSP не отражён во внутреннем учёте</v>
      </c>
      <c r="H22" s="17" t="str">
        <f aca="false">IF(OR($B$4="Все",data_журнал!$H$17=$B$4),data_журнал!H17,"")</f>
        <v>Закрыто</v>
      </c>
    </row>
    <row r="23" customFormat="false" ht="15" hidden="false" customHeight="false" outlineLevel="0" collapsed="false">
      <c r="A23" s="17" t="str">
        <f aca="false">IF(OR($B$4="Все",data_журнал!$H$18=$B$4),data_журнал!A18,"")</f>
        <v>BR-017</v>
      </c>
      <c r="B23" s="20" t="n">
        <f aca="false">IF(OR($B$4="Все",data_журнал!$H$18=$B$4),data_журнал!B18,"")</f>
        <v>46278</v>
      </c>
      <c r="C23" s="17" t="str">
        <f aca="false">IF(OR($B$4="Все",data_журнал!$H$18=$B$4),data_журнал!C18,"")</f>
        <v>PSP Gamma</v>
      </c>
      <c r="D23" s="17" t="str">
        <f aca="false">IF(OR($B$4="Все",data_журнал!$H$18=$B$4),data_журнал!D18,"")</f>
        <v>GAM-0913-0000</v>
      </c>
      <c r="E23" s="17" t="str">
        <f aca="false">IF(OR($B$4="Все",data_журнал!$H$18=$B$4),data_журнал!E18,"")</f>
        <v>Нет у PSP</v>
      </c>
      <c r="F23" s="21" t="n">
        <f aca="false">IF(OR($B$4="Все",data_журнал!$H$18=$B$4),data_журнал!F18,"")</f>
        <v>13860.2</v>
      </c>
      <c r="G23" s="17" t="str">
        <f aca="false">IF(OR($B$4="Все",data_журнал!$H$18=$B$4),data_журнал!G18,"")</f>
        <v>Транзакция попала в выписку следующего дня (cut-off)</v>
      </c>
      <c r="H23" s="17" t="str">
        <f aca="false">IF(OR($B$4="Все",data_журнал!$H$18=$B$4),data_журнал!H18,"")</f>
        <v>Закрыто</v>
      </c>
    </row>
    <row r="24" customFormat="false" ht="15" hidden="false" customHeight="false" outlineLevel="0" collapsed="false">
      <c r="A24" s="17" t="str">
        <f aca="false">IF(OR($B$4="Все",data_журнал!$H$19=$B$4),data_журнал!A19,"")</f>
        <v>BR-018</v>
      </c>
      <c r="B24" s="20" t="n">
        <f aca="false">IF(OR($B$4="Все",data_журнал!$H$19=$B$4),data_журнал!B19,"")</f>
        <v>46278</v>
      </c>
      <c r="C24" s="17" t="str">
        <f aca="false">IF(OR($B$4="Все",data_журнал!$H$19=$B$4),data_журнал!C19,"")</f>
        <v>PSP Gamma</v>
      </c>
      <c r="D24" s="17" t="str">
        <f aca="false">IF(OR($B$4="Все",data_журнал!$H$19=$B$4),data_журнал!D19,"")</f>
        <v>GAM-0913-0001</v>
      </c>
      <c r="E24" s="17" t="str">
        <f aca="false">IF(OR($B$4="Все",data_журнал!$H$19=$B$4),data_журнал!E19,"")</f>
        <v>Нет у PSP</v>
      </c>
      <c r="F24" s="21" t="n">
        <f aca="false">IF(OR($B$4="Все",data_журнал!$H$19=$B$4),data_журнал!F19,"")</f>
        <v>13273.4</v>
      </c>
      <c r="G24" s="17" t="str">
        <f aca="false">IF(OR($B$4="Все",data_журнал!$H$19=$B$4),data_журнал!G19,"")</f>
        <v>Транзакция попала в выписку следующего дня (cut-off)</v>
      </c>
      <c r="H24" s="17" t="str">
        <f aca="false">IF(OR($B$4="Все",data_журнал!$H$19=$B$4),data_журнал!H19,"")</f>
        <v>Закрыто</v>
      </c>
    </row>
    <row r="25" customFormat="false" ht="15" hidden="false" customHeight="false" outlineLevel="0" collapsed="false">
      <c r="A25" s="17" t="str">
        <f aca="false">IF(OR($B$4="Все",data_журнал!$H$20=$B$4),data_журнал!A20,"")</f>
        <v>BR-019</v>
      </c>
      <c r="B25" s="20" t="n">
        <f aca="false">IF(OR($B$4="Все",data_журнал!$H$20=$B$4),data_журнал!B20,"")</f>
        <v>46279</v>
      </c>
      <c r="C25" s="17" t="str">
        <f aca="false">IF(OR($B$4="Все",data_журнал!$H$20=$B$4),data_журнал!C20,"")</f>
        <v>PSP Gamma</v>
      </c>
      <c r="D25" s="17" t="str">
        <f aca="false">IF(OR($B$4="Все",data_журнал!$H$20=$B$4),data_журнал!D20,"")</f>
        <v>GAM-0914-0000</v>
      </c>
      <c r="E25" s="17" t="str">
        <f aca="false">IF(OR($B$4="Все",data_журнал!$H$20=$B$4),data_журнал!E20,"")</f>
        <v>Сумма</v>
      </c>
      <c r="F25" s="21" t="n">
        <f aca="false">IF(OR($B$4="Все",data_журнал!$H$20=$B$4),data_журнал!F20,"")</f>
        <v>1385.08</v>
      </c>
      <c r="G25" s="17" t="str">
        <f aca="false">IF(OR($B$4="Все",data_журнал!$H$20=$B$4),data_журнал!G20,"")</f>
        <v>Частичный возврат у PSP не отражён во внутреннем учёте</v>
      </c>
      <c r="H25" s="17" t="str">
        <f aca="false">IF(OR($B$4="Все",data_журнал!$H$20=$B$4),data_журнал!H20,"")</f>
        <v>Закрыто</v>
      </c>
    </row>
    <row r="26" customFormat="false" ht="15" hidden="false" customHeight="false" outlineLevel="0" collapsed="false">
      <c r="A26" s="17" t="str">
        <f aca="false">IF(OR($B$4="Все",data_журнал!$H$21=$B$4),data_журнал!A21,"")</f>
        <v>BR-020</v>
      </c>
      <c r="B26" s="20" t="n">
        <f aca="false">IF(OR($B$4="Все",data_журнал!$H$21=$B$4),data_журнал!B21,"")</f>
        <v>46279</v>
      </c>
      <c r="C26" s="17" t="str">
        <f aca="false">IF(OR($B$4="Все",data_журнал!$H$21=$B$4),data_журнал!C21,"")</f>
        <v>PSP Gamma</v>
      </c>
      <c r="D26" s="17" t="str">
        <f aca="false">IF(OR($B$4="Все",data_журнал!$H$21=$B$4),data_журнал!D21,"")</f>
        <v>GAM-0914-0001</v>
      </c>
      <c r="E26" s="17" t="str">
        <f aca="false">IF(OR($B$4="Все",data_журнал!$H$21=$B$4),data_журнал!E21,"")</f>
        <v>Нет в учёте</v>
      </c>
      <c r="F26" s="21" t="n">
        <f aca="false">IF(OR($B$4="Все",data_журнал!$H$21=$B$4),data_журнал!F21,"")</f>
        <v>4159.91</v>
      </c>
      <c r="G26" s="17" t="str">
        <f aca="false">IF(OR($B$4="Все",data_журнал!$H$21=$B$4),data_журнал!G21,"")</f>
        <v>Возврат (refund) не загрузился во внутренний учёт</v>
      </c>
      <c r="H26" s="17" t="str">
        <f aca="false">IF(OR($B$4="Все",data_журнал!$H$21=$B$4),data_журнал!H21,"")</f>
        <v>Закрыто</v>
      </c>
    </row>
    <row r="27" customFormat="false" ht="15" hidden="false" customHeight="false" outlineLevel="0" collapsed="false">
      <c r="A27" s="17" t="str">
        <f aca="false">IF(OR($B$4="Все",data_журнал!$H$22=$B$4),data_журнал!A22,"")</f>
        <v>BR-021</v>
      </c>
      <c r="B27" s="20" t="n">
        <f aca="false">IF(OR($B$4="Все",data_журнал!$H$22=$B$4),data_журнал!B22,"")</f>
        <v>46280</v>
      </c>
      <c r="C27" s="17" t="str">
        <f aca="false">IF(OR($B$4="Все",data_журнал!$H$22=$B$4),data_журнал!C22,"")</f>
        <v>PSP Gamma</v>
      </c>
      <c r="D27" s="17" t="str">
        <f aca="false">IF(OR($B$4="Все",data_журнал!$H$22=$B$4),data_журнал!D22,"")</f>
        <v>GAM-0915-0000</v>
      </c>
      <c r="E27" s="17" t="str">
        <f aca="false">IF(OR($B$4="Все",data_журнал!$H$22=$B$4),data_журнал!E22,"")</f>
        <v>Сумма</v>
      </c>
      <c r="F27" s="21" t="n">
        <f aca="false">IF(OR($B$4="Все",data_журнал!$H$22=$B$4),data_журнал!F22,"")</f>
        <v>1419.52</v>
      </c>
      <c r="G27" s="17" t="str">
        <f aca="false">IF(OR($B$4="Все",data_журнал!$H$22=$B$4),data_журнал!G22,"")</f>
        <v>Частичный возврат у PSP не отражён во внутреннем учёте</v>
      </c>
      <c r="H27" s="17" t="str">
        <f aca="false">IF(OR($B$4="Все",data_журнал!$H$22=$B$4),data_журнал!H22,"")</f>
        <v>Закрыто</v>
      </c>
    </row>
    <row r="28" customFormat="false" ht="15" hidden="false" customHeight="false" outlineLevel="0" collapsed="false">
      <c r="A28" s="17" t="str">
        <f aca="false">IF(OR($B$4="Все",data_журнал!$H$23=$B$4),data_журнал!A23,"")</f>
        <v>BR-022</v>
      </c>
      <c r="B28" s="20" t="n">
        <f aca="false">IF(OR($B$4="Все",data_журнал!$H$23=$B$4),data_журнал!B23,"")</f>
        <v>46280</v>
      </c>
      <c r="C28" s="17" t="str">
        <f aca="false">IF(OR($B$4="Все",data_журнал!$H$23=$B$4),data_журнал!C23,"")</f>
        <v>PSP Gamma</v>
      </c>
      <c r="D28" s="17" t="str">
        <f aca="false">IF(OR($B$4="Все",data_журнал!$H$23=$B$4),data_журнал!D23,"")</f>
        <v>GAM-0915-0001</v>
      </c>
      <c r="E28" s="17" t="str">
        <f aca="false">IF(OR($B$4="Все",data_журнал!$H$23=$B$4),data_журнал!E23,"")</f>
        <v>Комиссия</v>
      </c>
      <c r="F28" s="21" t="n">
        <f aca="false">IF(OR($B$4="Все",data_журнал!$H$23=$B$4),data_журнал!F23,"")</f>
        <v>391.21</v>
      </c>
      <c r="G28" s="17" t="str">
        <f aca="false">IF(OR($B$4="Все",data_журнал!$H$23=$B$4),data_журнал!G23,"")</f>
        <v>PSP применил старую тарифную сетку</v>
      </c>
      <c r="H28" s="17" t="str">
        <f aca="false">IF(OR($B$4="Все",data_журнал!$H$23=$B$4),data_журнал!H23,"")</f>
        <v>Закрыто</v>
      </c>
    </row>
    <row r="29" customFormat="false" ht="15" hidden="false" customHeight="false" outlineLevel="0" collapsed="false">
      <c r="A29" s="17" t="str">
        <f aca="false">IF(OR($B$4="Все",data_журнал!$H$24=$B$4),data_журнал!A24,"")</f>
        <v>BR-023</v>
      </c>
      <c r="B29" s="20" t="n">
        <f aca="false">IF(OR($B$4="Все",data_журнал!$H$24=$B$4),data_журнал!B24,"")</f>
        <v>46280</v>
      </c>
      <c r="C29" s="17" t="str">
        <f aca="false">IF(OR($B$4="Все",data_журнал!$H$24=$B$4),data_журнал!C24,"")</f>
        <v>PSP Gamma</v>
      </c>
      <c r="D29" s="17" t="str">
        <f aca="false">IF(OR($B$4="Все",data_журнал!$H$24=$B$4),data_журнал!D24,"")</f>
        <v>GAM-0915-0002</v>
      </c>
      <c r="E29" s="17" t="str">
        <f aca="false">IF(OR($B$4="Все",data_журнал!$H$24=$B$4),data_журнал!E24,"")</f>
        <v>Комиссия</v>
      </c>
      <c r="F29" s="21" t="n">
        <f aca="false">IF(OR($B$4="Все",data_журнал!$H$24=$B$4),data_журнал!F24,"")</f>
        <v>721.8</v>
      </c>
      <c r="G29" s="17" t="str">
        <f aca="false">IF(OR($B$4="Все",data_журнал!$H$24=$B$4),data_журнал!G24,"")</f>
        <v>PSP применил старую тарифную сетку</v>
      </c>
      <c r="H29" s="17" t="str">
        <f aca="false">IF(OR($B$4="Все",data_журнал!$H$24=$B$4),data_журнал!H24,"")</f>
        <v>Закрыто</v>
      </c>
    </row>
    <row r="30" customFormat="false" ht="15" hidden="false" customHeight="false" outlineLevel="0" collapsed="false">
      <c r="A30" s="17" t="str">
        <f aca="false">IF(OR($B$4="Все",data_журнал!$H$25=$B$4),data_журнал!A25,"")</f>
        <v>BR-024</v>
      </c>
      <c r="B30" s="20" t="n">
        <f aca="false">IF(OR($B$4="Все",data_журнал!$H$25=$B$4),data_журнал!B25,"")</f>
        <v>46280</v>
      </c>
      <c r="C30" s="17" t="str">
        <f aca="false">IF(OR($B$4="Все",data_журнал!$H$25=$B$4),data_журнал!C25,"")</f>
        <v>PSP Gamma</v>
      </c>
      <c r="D30" s="17" t="str">
        <f aca="false">IF(OR($B$4="Все",data_журнал!$H$25=$B$4),data_журнал!D25,"")</f>
        <v>GAM-0915-0003</v>
      </c>
      <c r="E30" s="17" t="str">
        <f aca="false">IF(OR($B$4="Все",data_журнал!$H$25=$B$4),data_журнал!E25,"")</f>
        <v>Сумма</v>
      </c>
      <c r="F30" s="21" t="n">
        <f aca="false">IF(OR($B$4="Все",data_журнал!$H$25=$B$4),data_журнал!F25,"")</f>
        <v>332.32</v>
      </c>
      <c r="G30" s="17" t="str">
        <f aca="false">IF(OR($B$4="Все",data_журнал!$H$25=$B$4),data_журнал!G25,"")</f>
        <v>Частичный возврат у PSP не отражён во внутреннем учёте</v>
      </c>
      <c r="H30" s="17" t="str">
        <f aca="false">IF(OR($B$4="Все",data_журнал!$H$25=$B$4),data_журнал!H25,"")</f>
        <v>Закрыто</v>
      </c>
    </row>
    <row r="31" customFormat="false" ht="15" hidden="false" customHeight="false" outlineLevel="0" collapsed="false">
      <c r="A31" s="17" t="str">
        <f aca="false">IF(OR($B$4="Все",data_журнал!$H$26=$B$4),data_журнал!A26,"")</f>
        <v>BR-025</v>
      </c>
      <c r="B31" s="20" t="n">
        <f aca="false">IF(OR($B$4="Все",data_журнал!$H$26=$B$4),data_журнал!B26,"")</f>
        <v>46280</v>
      </c>
      <c r="C31" s="17" t="str">
        <f aca="false">IF(OR($B$4="Все",data_журнал!$H$26=$B$4),data_журнал!C26,"")</f>
        <v>PSP Gamma</v>
      </c>
      <c r="D31" s="17" t="str">
        <f aca="false">IF(OR($B$4="Все",data_журнал!$H$26=$B$4),data_журнал!D26,"")</f>
        <v>GAM-0915-0004</v>
      </c>
      <c r="E31" s="17" t="str">
        <f aca="false">IF(OR($B$4="Все",data_журнал!$H$26=$B$4),data_журнал!E26,"")</f>
        <v>Сумма</v>
      </c>
      <c r="F31" s="21" t="n">
        <f aca="false">IF(OR($B$4="Все",data_журнал!$H$26=$B$4),data_журнал!F26,"")</f>
        <v>2681.83</v>
      </c>
      <c r="G31" s="17" t="str">
        <f aca="false">IF(OR($B$4="Все",data_журнал!$H$26=$B$4),data_журнал!G26,"")</f>
        <v>Частичный возврат у PSP не отражён во внутреннем учёте</v>
      </c>
      <c r="H31" s="17" t="str">
        <f aca="false">IF(OR($B$4="Все",data_журнал!$H$26=$B$4),data_журнал!H26,"")</f>
        <v>Закрыто</v>
      </c>
    </row>
    <row r="32" customFormat="false" ht="15" hidden="false" customHeight="false" outlineLevel="0" collapsed="false">
      <c r="A32" s="17" t="str">
        <f aca="false">IF(OR($B$4="Все",data_журнал!$H$27=$B$4),data_журнал!A27,"")</f>
        <v>BR-026</v>
      </c>
      <c r="B32" s="20" t="n">
        <f aca="false">IF(OR($B$4="Все",data_журнал!$H$27=$B$4),data_журнал!B27,"")</f>
        <v>46281</v>
      </c>
      <c r="C32" s="17" t="str">
        <f aca="false">IF(OR($B$4="Все",data_журнал!$H$27=$B$4),data_журнал!C27,"")</f>
        <v>PSP Beta</v>
      </c>
      <c r="D32" s="17" t="str">
        <f aca="false">IF(OR($B$4="Все",data_журнал!$H$27=$B$4),data_журнал!D27,"")</f>
        <v>BET-0916-0000</v>
      </c>
      <c r="E32" s="17" t="str">
        <f aca="false">IF(OR($B$4="Все",data_журнал!$H$27=$B$4),data_журнал!E27,"")</f>
        <v>Статус</v>
      </c>
      <c r="F32" s="21" t="n">
        <f aca="false">IF(OR($B$4="Все",data_журнал!$H$27=$B$4),data_журнал!F27,"")</f>
        <v>29215.29</v>
      </c>
      <c r="G32" s="17" t="str">
        <f aca="false">IF(OR($B$4="Все",data_журнал!$H$27=$B$4),data_журнал!G27,"")</f>
        <v>Таймаут: у нас success, у PSP failed — PSP подтвердил позже</v>
      </c>
      <c r="H32" s="17" t="str">
        <f aca="false">IF(OR($B$4="Все",data_журнал!$H$27=$B$4),data_журнал!H27,"")</f>
        <v>Закрыто</v>
      </c>
    </row>
    <row r="33" customFormat="false" ht="15" hidden="false" customHeight="false" outlineLevel="0" collapsed="false">
      <c r="A33" s="17" t="str">
        <f aca="false">IF(OR($B$4="Все",data_журнал!$H$28=$B$4),data_журнал!A28,"")</f>
        <v>BR-027</v>
      </c>
      <c r="B33" s="20" t="n">
        <f aca="false">IF(OR($B$4="Все",data_журнал!$H$28=$B$4),data_журнал!B28,"")</f>
        <v>46281</v>
      </c>
      <c r="C33" s="17" t="str">
        <f aca="false">IF(OR($B$4="Все",data_журнал!$H$28=$B$4),data_журнал!C28,"")</f>
        <v>PSP Beta</v>
      </c>
      <c r="D33" s="17" t="str">
        <f aca="false">IF(OR($B$4="Все",data_журнал!$H$28=$B$4),data_журнал!D28,"")</f>
        <v>BET-0916-0001</v>
      </c>
      <c r="E33" s="17" t="str">
        <f aca="false">IF(OR($B$4="Все",data_журнал!$H$28=$B$4),data_журнал!E28,"")</f>
        <v>Статус</v>
      </c>
      <c r="F33" s="21" t="n">
        <f aca="false">IF(OR($B$4="Все",data_журнал!$H$28=$B$4),data_журнал!F28,"")</f>
        <v>30570.85</v>
      </c>
      <c r="G33" s="17" t="str">
        <f aca="false">IF(OR($B$4="Все",data_журнал!$H$28=$B$4),data_журнал!G28,"")</f>
        <v>Таймаут: у нас success, у PSP failed — PSP подтвердил позже</v>
      </c>
      <c r="H33" s="17" t="str">
        <f aca="false">IF(OR($B$4="Все",data_журнал!$H$28=$B$4),data_журнал!H28,"")</f>
        <v>Закрыто</v>
      </c>
    </row>
    <row r="34" customFormat="false" ht="15" hidden="false" customHeight="false" outlineLevel="0" collapsed="false">
      <c r="A34" s="17" t="str">
        <f aca="false">IF(OR($B$4="Все",data_журнал!$H$29=$B$4),data_журнал!A29,"")</f>
        <v>BR-028</v>
      </c>
      <c r="B34" s="20" t="n">
        <f aca="false">IF(OR($B$4="Все",data_журнал!$H$29=$B$4),data_журнал!B29,"")</f>
        <v>46281</v>
      </c>
      <c r="C34" s="17" t="str">
        <f aca="false">IF(OR($B$4="Все",data_журнал!$H$29=$B$4),data_журнал!C29,"")</f>
        <v>PSP Gamma</v>
      </c>
      <c r="D34" s="17" t="str">
        <f aca="false">IF(OR($B$4="Все",data_журнал!$H$29=$B$4),data_журнал!D29,"")</f>
        <v>GAM-0916-0000</v>
      </c>
      <c r="E34" s="17" t="str">
        <f aca="false">IF(OR($B$4="Все",data_журнал!$H$29=$B$4),data_журнал!E29,"")</f>
        <v>Сумма</v>
      </c>
      <c r="F34" s="21" t="n">
        <f aca="false">IF(OR($B$4="Все",data_журнал!$H$29=$B$4),data_журнал!F29,"")</f>
        <v>2654.51</v>
      </c>
      <c r="G34" s="17" t="str">
        <f aca="false">IF(OR($B$4="Все",data_журнал!$H$29=$B$4),data_журнал!G29,"")</f>
        <v>Частичный возврат у PSP не отражён во внутреннем учёте</v>
      </c>
      <c r="H34" s="17" t="str">
        <f aca="false">IF(OR($B$4="Все",data_журнал!$H$29=$B$4),data_журнал!H29,"")</f>
        <v>Закрыто</v>
      </c>
    </row>
    <row r="35" customFormat="false" ht="15" hidden="false" customHeight="false" outlineLevel="0" collapsed="false">
      <c r="A35" s="17" t="str">
        <f aca="false">IF(OR($B$4="Все",data_журнал!$H$30=$B$4),data_журнал!A30,"")</f>
        <v>BR-029</v>
      </c>
      <c r="B35" s="20" t="n">
        <f aca="false">IF(OR($B$4="Все",data_журнал!$H$30=$B$4),data_журнал!B30,"")</f>
        <v>46281</v>
      </c>
      <c r="C35" s="17" t="str">
        <f aca="false">IF(OR($B$4="Все",data_журнал!$H$30=$B$4),data_журнал!C30,"")</f>
        <v>PSP Gamma</v>
      </c>
      <c r="D35" s="17" t="str">
        <f aca="false">IF(OR($B$4="Все",data_журнал!$H$30=$B$4),data_журнал!D30,"")</f>
        <v>GAM-0916-0001</v>
      </c>
      <c r="E35" s="17" t="str">
        <f aca="false">IF(OR($B$4="Все",data_журнал!$H$30=$B$4),data_журнал!E30,"")</f>
        <v>Нет в учёте</v>
      </c>
      <c r="F35" s="21" t="n">
        <f aca="false">IF(OR($B$4="Все",data_журнал!$H$30=$B$4),data_журнал!F30,"")</f>
        <v>1148.64</v>
      </c>
      <c r="G35" s="17" t="str">
        <f aca="false">IF(OR($B$4="Все",data_журнал!$H$30=$B$4),data_журнал!G30,"")</f>
        <v>Возврат (refund) не загрузился во внутренний учёт</v>
      </c>
      <c r="H35" s="17" t="str">
        <f aca="false">IF(OR($B$4="Все",data_журнал!$H$30=$B$4),data_журнал!H30,"")</f>
        <v>Закрыто</v>
      </c>
    </row>
    <row r="36" customFormat="false" ht="15" hidden="false" customHeight="false" outlineLevel="0" collapsed="false">
      <c r="A36" s="17" t="str">
        <f aca="false">IF(OR($B$4="Все",data_журнал!$H$31=$B$4),data_журнал!A31,"")</f>
        <v>BR-030</v>
      </c>
      <c r="B36" s="20" t="n">
        <f aca="false">IF(OR($B$4="Все",data_журнал!$H$31=$B$4),data_журнал!B31,"")</f>
        <v>46282</v>
      </c>
      <c r="C36" s="17" t="str">
        <f aca="false">IF(OR($B$4="Все",data_журнал!$H$31=$B$4),data_журнал!C31,"")</f>
        <v>PSP Beta</v>
      </c>
      <c r="D36" s="17" t="str">
        <f aca="false">IF(OR($B$4="Все",data_журнал!$H$31=$B$4),data_журнал!D31,"")</f>
        <v>BET-0917-0000</v>
      </c>
      <c r="E36" s="17" t="str">
        <f aca="false">IF(OR($B$4="Все",data_журнал!$H$31=$B$4),data_журнал!E31,"")</f>
        <v>Статус</v>
      </c>
      <c r="F36" s="21" t="n">
        <f aca="false">IF(OR($B$4="Все",data_журнал!$H$31=$B$4),data_журнал!F31,"")</f>
        <v>6386.29</v>
      </c>
      <c r="G36" s="17" t="str">
        <f aca="false">IF(OR($B$4="Все",data_журнал!$H$31=$B$4),data_журнал!G31,"")</f>
        <v>Таймаут: у нас success, у PSP failed — PSP подтвердил позже</v>
      </c>
      <c r="H36" s="17" t="str">
        <f aca="false">IF(OR($B$4="Все",data_журнал!$H$31=$B$4),data_журнал!H31,"")</f>
        <v>Закрыто</v>
      </c>
    </row>
    <row r="37" customFormat="false" ht="15" hidden="false" customHeight="false" outlineLevel="0" collapsed="false">
      <c r="A37" s="17" t="str">
        <f aca="false">IF(OR($B$4="Все",data_журнал!$H$32=$B$4),data_журнал!A32,"")</f>
        <v>BR-031</v>
      </c>
      <c r="B37" s="20" t="n">
        <f aca="false">IF(OR($B$4="Все",data_журнал!$H$32=$B$4),data_журнал!B32,"")</f>
        <v>46282</v>
      </c>
      <c r="C37" s="17" t="str">
        <f aca="false">IF(OR($B$4="Все",data_журнал!$H$32=$B$4),data_журнал!C32,"")</f>
        <v>PSP Beta</v>
      </c>
      <c r="D37" s="17" t="str">
        <f aca="false">IF(OR($B$4="Все",data_журнал!$H$32=$B$4),data_журнал!D32,"")</f>
        <v>BET-0917-0001</v>
      </c>
      <c r="E37" s="17" t="str">
        <f aca="false">IF(OR($B$4="Все",data_журнал!$H$32=$B$4),data_журнал!E32,"")</f>
        <v>Нет у PSP</v>
      </c>
      <c r="F37" s="21" t="n">
        <f aca="false">IF(OR($B$4="Все",data_журнал!$H$32=$B$4),data_журнал!F32,"")</f>
        <v>15678.89</v>
      </c>
      <c r="G37" s="17" t="str">
        <f aca="false">IF(OR($B$4="Все",data_журнал!$H$32=$B$4),data_журнал!G32,"")</f>
        <v>Транзакция попала в выписку следующего дня (cut-off)</v>
      </c>
      <c r="H37" s="17" t="str">
        <f aca="false">IF(OR($B$4="Все",data_журнал!$H$32=$B$4),data_журнал!H32,"")</f>
        <v>Закрыто</v>
      </c>
    </row>
    <row r="38" customFormat="false" ht="15" hidden="false" customHeight="false" outlineLevel="0" collapsed="false">
      <c r="A38" s="17" t="str">
        <f aca="false">IF(OR($B$4="Все",data_журнал!$H$33=$B$4),data_журнал!A33,"")</f>
        <v>BR-032</v>
      </c>
      <c r="B38" s="20" t="n">
        <f aca="false">IF(OR($B$4="Все",data_журнал!$H$33=$B$4),data_журнал!B33,"")</f>
        <v>46282</v>
      </c>
      <c r="C38" s="17" t="str">
        <f aca="false">IF(OR($B$4="Все",data_журнал!$H$33=$B$4),data_журнал!C33,"")</f>
        <v>PSP Gamma</v>
      </c>
      <c r="D38" s="17" t="str">
        <f aca="false">IF(OR($B$4="Все",data_журнал!$H$33=$B$4),data_журнал!D33,"")</f>
        <v>GAM-0917-0000</v>
      </c>
      <c r="E38" s="17" t="str">
        <f aca="false">IF(OR($B$4="Все",data_журнал!$H$33=$B$4),data_журнал!E33,"")</f>
        <v>Комиссия</v>
      </c>
      <c r="F38" s="21" t="n">
        <f aca="false">IF(OR($B$4="Все",data_журнал!$H$33=$B$4),data_журнал!F33,"")</f>
        <v>936.79</v>
      </c>
      <c r="G38" s="17" t="str">
        <f aca="false">IF(OR($B$4="Все",data_журнал!$H$33=$B$4),data_журнал!G33,"")</f>
        <v>PSP применил старую тарифную сетку</v>
      </c>
      <c r="H38" s="17" t="str">
        <f aca="false">IF(OR($B$4="Все",data_журнал!$H$33=$B$4),data_журнал!H33,"")</f>
        <v>Закрыто</v>
      </c>
    </row>
    <row r="39" customFormat="false" ht="15" hidden="false" customHeight="false" outlineLevel="0" collapsed="false">
      <c r="A39" s="17" t="str">
        <f aca="false">IF(OR($B$4="Все",data_журнал!$H$34=$B$4),data_журнал!A34,"")</f>
        <v>BR-033</v>
      </c>
      <c r="B39" s="20" t="n">
        <f aca="false">IF(OR($B$4="Все",data_журнал!$H$34=$B$4),data_журнал!B34,"")</f>
        <v>46282</v>
      </c>
      <c r="C39" s="17" t="str">
        <f aca="false">IF(OR($B$4="Все",data_журнал!$H$34=$B$4),data_журнал!C34,"")</f>
        <v>PSP Gamma</v>
      </c>
      <c r="D39" s="17" t="str">
        <f aca="false">IF(OR($B$4="Все",data_журнал!$H$34=$B$4),data_журнал!D34,"")</f>
        <v>GAM-0917-0001</v>
      </c>
      <c r="E39" s="17" t="str">
        <f aca="false">IF(OR($B$4="Все",data_журнал!$H$34=$B$4),data_журнал!E34,"")</f>
        <v>Нет у PSP</v>
      </c>
      <c r="F39" s="21" t="n">
        <f aca="false">IF(OR($B$4="Все",data_журнал!$H$34=$B$4),data_журнал!F34,"")</f>
        <v>4106.83</v>
      </c>
      <c r="G39" s="17" t="str">
        <f aca="false">IF(OR($B$4="Все",data_журнал!$H$34=$B$4),data_журнал!G34,"")</f>
        <v>Транзакция попала в выписку следующего дня (cut-off)</v>
      </c>
      <c r="H39" s="17" t="str">
        <f aca="false">IF(OR($B$4="Все",data_журнал!$H$34=$B$4),data_журнал!H34,"")</f>
        <v>Закрыто</v>
      </c>
    </row>
    <row r="40" customFormat="false" ht="15" hidden="false" customHeight="false" outlineLevel="0" collapsed="false">
      <c r="A40" s="17" t="str">
        <f aca="false">IF(OR($B$4="Все",data_журнал!$H$35=$B$4),data_журнал!A35,"")</f>
        <v>BR-034</v>
      </c>
      <c r="B40" s="20" t="n">
        <f aca="false">IF(OR($B$4="Все",data_журнал!$H$35=$B$4),data_журнал!B35,"")</f>
        <v>46284</v>
      </c>
      <c r="C40" s="17" t="str">
        <f aca="false">IF(OR($B$4="Все",data_журнал!$H$35=$B$4),data_журнал!C35,"")</f>
        <v>PSP Alfa</v>
      </c>
      <c r="D40" s="17" t="str">
        <f aca="false">IF(OR($B$4="Все",data_журнал!$H$35=$B$4),data_журнал!D35,"")</f>
        <v>ALF-0919-0000</v>
      </c>
      <c r="E40" s="17" t="str">
        <f aca="false">IF(OR($B$4="Все",data_журнал!$H$35=$B$4),data_журнал!E35,"")</f>
        <v>Нет у PSP</v>
      </c>
      <c r="F40" s="21" t="n">
        <f aca="false">IF(OR($B$4="Все",data_журнал!$H$35=$B$4),data_журнал!F35,"")</f>
        <v>8986.83</v>
      </c>
      <c r="G40" s="17" t="str">
        <f aca="false">IF(OR($B$4="Все",data_журнал!$H$35=$B$4),data_журнал!G35,"")</f>
        <v>Транзакция попала в выписку следующего дня (cut-off)</v>
      </c>
      <c r="H40" s="17" t="str">
        <f aca="false">IF(OR($B$4="Все",data_журнал!$H$35=$B$4),data_журнал!H35,"")</f>
        <v>Закрыто</v>
      </c>
    </row>
    <row r="41" customFormat="false" ht="15" hidden="false" customHeight="false" outlineLevel="0" collapsed="false">
      <c r="A41" s="17" t="str">
        <f aca="false">IF(OR($B$4="Все",data_журнал!$H$36=$B$4),data_журнал!A36,"")</f>
        <v>BR-035</v>
      </c>
      <c r="B41" s="20" t="n">
        <f aca="false">IF(OR($B$4="Все",data_журнал!$H$36=$B$4),data_журнал!B36,"")</f>
        <v>46284</v>
      </c>
      <c r="C41" s="17" t="str">
        <f aca="false">IF(OR($B$4="Все",data_журнал!$H$36=$B$4),data_журнал!C36,"")</f>
        <v>PSP Beta</v>
      </c>
      <c r="D41" s="17" t="str">
        <f aca="false">IF(OR($B$4="Все",data_журнал!$H$36=$B$4),data_журнал!D36,"")</f>
        <v>BET-0919-0000</v>
      </c>
      <c r="E41" s="17" t="str">
        <f aca="false">IF(OR($B$4="Все",data_журнал!$H$36=$B$4),data_журнал!E36,"")</f>
        <v>Сумма</v>
      </c>
      <c r="F41" s="21" t="n">
        <f aca="false">IF(OR($B$4="Все",data_журнал!$H$36=$B$4),data_журнал!F36,"")</f>
        <v>548.2</v>
      </c>
      <c r="G41" s="17" t="str">
        <f aca="false">IF(OR($B$4="Все",data_журнал!$H$36=$B$4),data_журнал!G36,"")</f>
        <v>Частичный возврат у PSP не отражён во внутреннем учёте</v>
      </c>
      <c r="H41" s="17" t="str">
        <f aca="false">IF(OR($B$4="Все",data_журнал!$H$36=$B$4),data_журнал!H36,"")</f>
        <v>Закрыто</v>
      </c>
    </row>
    <row r="42" customFormat="false" ht="15" hidden="false" customHeight="false" outlineLevel="0" collapsed="false">
      <c r="A42" s="17" t="str">
        <f aca="false">IF(OR($B$4="Все",data_журнал!$H$37=$B$4),data_журнал!A37,"")</f>
        <v>BR-036</v>
      </c>
      <c r="B42" s="20" t="n">
        <f aca="false">IF(OR($B$4="Все",data_журнал!$H$37=$B$4),data_журнал!B37,"")</f>
        <v>46284</v>
      </c>
      <c r="C42" s="17" t="str">
        <f aca="false">IF(OR($B$4="Все",data_журнал!$H$37=$B$4),data_журнал!C37,"")</f>
        <v>PSP Gamma</v>
      </c>
      <c r="D42" s="17" t="str">
        <f aca="false">IF(OR($B$4="Все",data_журнал!$H$37=$B$4),data_журнал!D37,"")</f>
        <v>GAM-0919-0000</v>
      </c>
      <c r="E42" s="17" t="str">
        <f aca="false">IF(OR($B$4="Все",data_журнал!$H$37=$B$4),data_журнал!E37,"")</f>
        <v>Статус</v>
      </c>
      <c r="F42" s="21" t="n">
        <f aca="false">IF(OR($B$4="Все",data_журнал!$H$37=$B$4),data_журнал!F37,"")</f>
        <v>29989.45</v>
      </c>
      <c r="G42" s="17" t="str">
        <f aca="false">IF(OR($B$4="Все",data_журнал!$H$37=$B$4),data_журнал!G37,"")</f>
        <v>Таймаут: у нас success, у PSP failed — PSP подтвердил позже</v>
      </c>
      <c r="H42" s="17" t="str">
        <f aca="false">IF(OR($B$4="Все",data_журнал!$H$37=$B$4),data_журнал!H37,"")</f>
        <v>Закрыто</v>
      </c>
    </row>
    <row r="43" customFormat="false" ht="15" hidden="false" customHeight="false" outlineLevel="0" collapsed="false">
      <c r="A43" s="17" t="str">
        <f aca="false">IF(OR($B$4="Все",data_журнал!$H$38=$B$4),data_журнал!A38,"")</f>
        <v>BR-037</v>
      </c>
      <c r="B43" s="20" t="n">
        <f aca="false">IF(OR($B$4="Все",data_журнал!$H$38=$B$4),data_журнал!B38,"")</f>
        <v>46284</v>
      </c>
      <c r="C43" s="17" t="str">
        <f aca="false">IF(OR($B$4="Все",data_журнал!$H$38=$B$4),data_журнал!C38,"")</f>
        <v>PSP Gamma</v>
      </c>
      <c r="D43" s="17" t="str">
        <f aca="false">IF(OR($B$4="Все",data_журнал!$H$38=$B$4),data_журнал!D38,"")</f>
        <v>GAM-0919-0001</v>
      </c>
      <c r="E43" s="17" t="str">
        <f aca="false">IF(OR($B$4="Все",data_журнал!$H$38=$B$4),data_журнал!E38,"")</f>
        <v>Нет у PSP</v>
      </c>
      <c r="F43" s="21" t="n">
        <f aca="false">IF(OR($B$4="Все",data_журнал!$H$38=$B$4),data_журнал!F38,"")</f>
        <v>26420.67</v>
      </c>
      <c r="G43" s="17" t="str">
        <f aca="false">IF(OR($B$4="Все",data_журнал!$H$38=$B$4),data_журнал!G38,"")</f>
        <v>Транзакция попала в выписку следующего дня (cut-off)</v>
      </c>
      <c r="H43" s="17" t="str">
        <f aca="false">IF(OR($B$4="Все",data_журнал!$H$38=$B$4),data_журнал!H38,"")</f>
        <v>Закрыто</v>
      </c>
    </row>
    <row r="44" customFormat="false" ht="15" hidden="false" customHeight="false" outlineLevel="0" collapsed="false">
      <c r="A44" s="17" t="str">
        <f aca="false">IF(OR($B$4="Все",data_журнал!$H$39=$B$4),data_журнал!A39,"")</f>
        <v>BR-038</v>
      </c>
      <c r="B44" s="20" t="n">
        <f aca="false">IF(OR($B$4="Все",data_журнал!$H$39=$B$4),data_журнал!B39,"")</f>
        <v>46285</v>
      </c>
      <c r="C44" s="17" t="str">
        <f aca="false">IF(OR($B$4="Все",data_журнал!$H$39=$B$4),data_журнал!C39,"")</f>
        <v>PSP Alfa</v>
      </c>
      <c r="D44" s="17" t="str">
        <f aca="false">IF(OR($B$4="Все",data_журнал!$H$39=$B$4),data_журнал!D39,"")</f>
        <v>ALF-0920-0000</v>
      </c>
      <c r="E44" s="17" t="str">
        <f aca="false">IF(OR($B$4="Все",data_журнал!$H$39=$B$4),data_журнал!E39,"")</f>
        <v>Комиссия</v>
      </c>
      <c r="F44" s="21" t="n">
        <f aca="false">IF(OR($B$4="Все",data_журнал!$H$39=$B$4),data_журнал!F39,"")</f>
        <v>311.73</v>
      </c>
      <c r="G44" s="17" t="str">
        <f aca="false">IF(OR($B$4="Все",data_журнал!$H$39=$B$4),data_журнал!G39,"")</f>
        <v>PSP применил старую тарифную сетку</v>
      </c>
      <c r="H44" s="17" t="str">
        <f aca="false">IF(OR($B$4="Все",data_журнал!$H$39=$B$4),data_журнал!H39,"")</f>
        <v>Закрыто</v>
      </c>
    </row>
    <row r="45" customFormat="false" ht="15" hidden="false" customHeight="false" outlineLevel="0" collapsed="false">
      <c r="A45" s="17" t="str">
        <f aca="false">IF(OR($B$4="Все",data_журнал!$H$40=$B$4),data_журнал!A40,"")</f>
        <v>BR-039</v>
      </c>
      <c r="B45" s="20" t="n">
        <f aca="false">IF(OR($B$4="Все",data_журнал!$H$40=$B$4),data_журнал!B40,"")</f>
        <v>46285</v>
      </c>
      <c r="C45" s="17" t="str">
        <f aca="false">IF(OR($B$4="Все",data_журнал!$H$40=$B$4),data_журнал!C40,"")</f>
        <v>PSP Beta</v>
      </c>
      <c r="D45" s="17" t="str">
        <f aca="false">IF(OR($B$4="Все",data_журнал!$H$40=$B$4),data_журнал!D40,"")</f>
        <v>BET-0920-0000</v>
      </c>
      <c r="E45" s="17" t="str">
        <f aca="false">IF(OR($B$4="Все",data_журнал!$H$40=$B$4),data_журнал!E40,"")</f>
        <v>Нет в учёте</v>
      </c>
      <c r="F45" s="21" t="n">
        <f aca="false">IF(OR($B$4="Все",data_журнал!$H$40=$B$4),data_журнал!F40,"")</f>
        <v>11188.1</v>
      </c>
      <c r="G45" s="17" t="str">
        <f aca="false">IF(OR($B$4="Все",data_журнал!$H$40=$B$4),data_журнал!G40,"")</f>
        <v>Возврат (refund) не загрузился во внутренний учёт</v>
      </c>
      <c r="H45" s="17" t="str">
        <f aca="false">IF(OR($B$4="Все",data_журнал!$H$40=$B$4),data_журнал!H40,"")</f>
        <v>Закрыто</v>
      </c>
    </row>
    <row r="46" customFormat="false" ht="15" hidden="false" customHeight="false" outlineLevel="0" collapsed="false">
      <c r="A46" s="17" t="str">
        <f aca="false">IF(OR($B$4="Все",data_журнал!$H$41=$B$4),data_журнал!A41,"")</f>
        <v>BR-040</v>
      </c>
      <c r="B46" s="20" t="n">
        <f aca="false">IF(OR($B$4="Все",data_журнал!$H$41=$B$4),data_журнал!B41,"")</f>
        <v>46286</v>
      </c>
      <c r="C46" s="17" t="str">
        <f aca="false">IF(OR($B$4="Все",data_журнал!$H$41=$B$4),data_журнал!C41,"")</f>
        <v>PSP Gamma</v>
      </c>
      <c r="D46" s="17" t="str">
        <f aca="false">IF(OR($B$4="Все",data_журнал!$H$41=$B$4),data_журнал!D41,"")</f>
        <v>GAM-0921-0000</v>
      </c>
      <c r="E46" s="17" t="str">
        <f aca="false">IF(OR($B$4="Все",data_журнал!$H$41=$B$4),data_журнал!E41,"")</f>
        <v>Нет у PSP</v>
      </c>
      <c r="F46" s="21" t="n">
        <f aca="false">IF(OR($B$4="Все",data_журнал!$H$41=$B$4),data_журнал!F41,"")</f>
        <v>12785.47</v>
      </c>
      <c r="G46" s="17" t="str">
        <f aca="false">IF(OR($B$4="Все",data_журнал!$H$41=$B$4),data_журнал!G41,"")</f>
        <v>Транзакция попала в выписку следующего дня (cut-off)</v>
      </c>
      <c r="H46" s="17" t="str">
        <f aca="false">IF(OR($B$4="Все",data_журнал!$H$41=$B$4),data_журнал!H41,"")</f>
        <v>Закрыто</v>
      </c>
    </row>
    <row r="47" customFormat="false" ht="15" hidden="false" customHeight="false" outlineLevel="0" collapsed="false">
      <c r="A47" s="17" t="str">
        <f aca="false">IF(OR($B$4="Все",data_журнал!$H$42=$B$4),data_журнал!A42,"")</f>
        <v>BR-041</v>
      </c>
      <c r="B47" s="20" t="n">
        <f aca="false">IF(OR($B$4="Все",data_журнал!$H$42=$B$4),data_журнал!B42,"")</f>
        <v>46287</v>
      </c>
      <c r="C47" s="17" t="str">
        <f aca="false">IF(OR($B$4="Все",data_журнал!$H$42=$B$4),data_журнал!C42,"")</f>
        <v>PSP Alfa</v>
      </c>
      <c r="D47" s="17" t="str">
        <f aca="false">IF(OR($B$4="Все",data_журнал!$H$42=$B$4),data_журнал!D42,"")</f>
        <v>ALF-0922-0000</v>
      </c>
      <c r="E47" s="17" t="str">
        <f aca="false">IF(OR($B$4="Все",data_журнал!$H$42=$B$4),data_журнал!E42,"")</f>
        <v>Статус</v>
      </c>
      <c r="F47" s="21" t="n">
        <f aca="false">IF(OR($B$4="Все",data_журнал!$H$42=$B$4),data_журнал!F42,"")</f>
        <v>37171.86</v>
      </c>
      <c r="G47" s="17" t="str">
        <f aca="false">IF(OR($B$4="Все",data_журнал!$H$42=$B$4),data_журнал!G42,"")</f>
        <v>Таймаут: у нас success, у PSP failed — PSP подтвердил позже</v>
      </c>
      <c r="H47" s="17" t="str">
        <f aca="false">IF(OR($B$4="Все",data_журнал!$H$42=$B$4),data_журнал!H42,"")</f>
        <v>Закрыто</v>
      </c>
    </row>
    <row r="48" customFormat="false" ht="15" hidden="false" customHeight="false" outlineLevel="0" collapsed="false">
      <c r="A48" s="17" t="str">
        <f aca="false">IF(OR($B$4="Все",data_журнал!$H$43=$B$4),data_журнал!A43,"")</f>
        <v>BR-042</v>
      </c>
      <c r="B48" s="20" t="n">
        <f aca="false">IF(OR($B$4="Все",data_журнал!$H$43=$B$4),data_журнал!B43,"")</f>
        <v>46288</v>
      </c>
      <c r="C48" s="17" t="str">
        <f aca="false">IF(OR($B$4="Все",data_журнал!$H$43=$B$4),data_журнал!C43,"")</f>
        <v>PSP Alfa</v>
      </c>
      <c r="D48" s="17" t="str">
        <f aca="false">IF(OR($B$4="Все",data_журнал!$H$43=$B$4),data_журнал!D43,"")</f>
        <v>ALF-0923-0000</v>
      </c>
      <c r="E48" s="17" t="str">
        <f aca="false">IF(OR($B$4="Все",data_журнал!$H$43=$B$4),data_журнал!E43,"")</f>
        <v>Комиссия</v>
      </c>
      <c r="F48" s="21" t="n">
        <f aca="false">IF(OR($B$4="Все",data_журнал!$H$43=$B$4),data_журнал!F43,"")</f>
        <v>519.65</v>
      </c>
      <c r="G48" s="17" t="str">
        <f aca="false">IF(OR($B$4="Все",data_журнал!$H$43=$B$4),data_журнал!G43,"")</f>
        <v>PSP применил старую тарифную сетку</v>
      </c>
      <c r="H48" s="17" t="str">
        <f aca="false">IF(OR($B$4="Все",data_журнал!$H$43=$B$4),data_журнал!H43,"")</f>
        <v>Закрыто</v>
      </c>
    </row>
    <row r="49" customFormat="false" ht="15" hidden="false" customHeight="false" outlineLevel="0" collapsed="false">
      <c r="A49" s="17" t="str">
        <f aca="false">IF(OR($B$4="Все",data_журнал!$H$44=$B$4),data_журнал!A44,"")</f>
        <v>BR-043</v>
      </c>
      <c r="B49" s="20" t="n">
        <f aca="false">IF(OR($B$4="Все",data_журнал!$H$44=$B$4),data_журнал!B44,"")</f>
        <v>46288</v>
      </c>
      <c r="C49" s="17" t="str">
        <f aca="false">IF(OR($B$4="Все",data_журнал!$H$44=$B$4),data_журнал!C44,"")</f>
        <v>PSP Gamma</v>
      </c>
      <c r="D49" s="17" t="str">
        <f aca="false">IF(OR($B$4="Все",data_журнал!$H$44=$B$4),data_журнал!D44,"")</f>
        <v>GAM-0923-0000</v>
      </c>
      <c r="E49" s="17" t="str">
        <f aca="false">IF(OR($B$4="Все",data_журнал!$H$44=$B$4),data_журнал!E44,"")</f>
        <v>Нет в учёте</v>
      </c>
      <c r="F49" s="21" t="n">
        <f aca="false">IF(OR($B$4="Все",data_журнал!$H$44=$B$4),data_журнал!F44,"")</f>
        <v>6451.36</v>
      </c>
      <c r="G49" s="17" t="str">
        <f aca="false">IF(OR($B$4="Все",data_журнал!$H$44=$B$4),data_журнал!G44,"")</f>
        <v>Возврат (refund) не загрузился во внутренний учёт</v>
      </c>
      <c r="H49" s="17" t="str">
        <f aca="false">IF(OR($B$4="Все",data_журнал!$H$44=$B$4),data_журнал!H44,"")</f>
        <v>Закрыто</v>
      </c>
    </row>
    <row r="50" customFormat="false" ht="15" hidden="false" customHeight="false" outlineLevel="0" collapsed="false">
      <c r="A50" s="17" t="str">
        <f aca="false">IF(OR($B$4="Все",data_журнал!$H$45=$B$4),data_журнал!A45,"")</f>
        <v>BR-044</v>
      </c>
      <c r="B50" s="20" t="n">
        <f aca="false">IF(OR($B$4="Все",data_журнал!$H$45=$B$4),data_журнал!B45,"")</f>
        <v>46290</v>
      </c>
      <c r="C50" s="17" t="str">
        <f aca="false">IF(OR($B$4="Все",data_журнал!$H$45=$B$4),data_журнал!C45,"")</f>
        <v>PSP Alfa</v>
      </c>
      <c r="D50" s="17" t="str">
        <f aca="false">IF(OR($B$4="Все",data_журнал!$H$45=$B$4),data_журнал!D45,"")</f>
        <v>ALF-0925-0000</v>
      </c>
      <c r="E50" s="17" t="str">
        <f aca="false">IF(OR($B$4="Все",data_журнал!$H$45=$B$4),data_журнал!E45,"")</f>
        <v>Нет у PSP</v>
      </c>
      <c r="F50" s="21" t="n">
        <f aca="false">IF(OR($B$4="Все",data_журнал!$H$45=$B$4),data_журнал!F45,"")</f>
        <v>19722.34</v>
      </c>
      <c r="G50" s="17" t="str">
        <f aca="false">IF(OR($B$4="Все",data_журнал!$H$45=$B$4),data_журнал!G45,"")</f>
        <v>Транзакция попала в выписку следующего дня (cut-off)</v>
      </c>
      <c r="H50" s="17" t="str">
        <f aca="false">IF(OR($B$4="Все",data_журнал!$H$45=$B$4),data_журнал!H45,"")</f>
        <v>Закрыто</v>
      </c>
    </row>
    <row r="51" customFormat="false" ht="15" hidden="false" customHeight="false" outlineLevel="0" collapsed="false">
      <c r="A51" s="17" t="str">
        <f aca="false">IF(OR($B$4="Все",data_журнал!$H$46=$B$4),data_журнал!A46,"")</f>
        <v>BR-045</v>
      </c>
      <c r="B51" s="20" t="n">
        <f aca="false">IF(OR($B$4="Все",data_журнал!$H$46=$B$4),data_журнал!B46,"")</f>
        <v>46291</v>
      </c>
      <c r="C51" s="17" t="str">
        <f aca="false">IF(OR($B$4="Все",data_журнал!$H$46=$B$4),data_журнал!C46,"")</f>
        <v>PSP Gamma</v>
      </c>
      <c r="D51" s="17" t="str">
        <f aca="false">IF(OR($B$4="Все",data_журнал!$H$46=$B$4),data_журнал!D46,"")</f>
        <v>GAM-0926-0000</v>
      </c>
      <c r="E51" s="17" t="str">
        <f aca="false">IF(OR($B$4="Все",data_журнал!$H$46=$B$4),data_журнал!E46,"")</f>
        <v>Сумма</v>
      </c>
      <c r="F51" s="21" t="n">
        <f aca="false">IF(OR($B$4="Все",data_журнал!$H$46=$B$4),data_журнал!F46,"")</f>
        <v>1533.69</v>
      </c>
      <c r="G51" s="17" t="str">
        <f aca="false">IF(OR($B$4="Все",data_журнал!$H$46=$B$4),data_журнал!G46,"")</f>
        <v>Частичный возврат у PSP не отражён во внутреннем учёте</v>
      </c>
      <c r="H51" s="17" t="str">
        <f aca="false">IF(OR($B$4="Все",data_журнал!$H$46=$B$4),data_журнал!H46,"")</f>
        <v>Закрыто</v>
      </c>
    </row>
    <row r="52" customFormat="false" ht="15" hidden="false" customHeight="false" outlineLevel="0" collapsed="false">
      <c r="A52" s="17" t="str">
        <f aca="false">IF(OR($B$4="Все",data_журнал!$H$47=$B$4),data_журнал!A47,"")</f>
        <v>BR-046</v>
      </c>
      <c r="B52" s="20" t="n">
        <f aca="false">IF(OR($B$4="Все",data_журнал!$H$47=$B$4),data_журнал!B47,"")</f>
        <v>46292</v>
      </c>
      <c r="C52" s="17" t="str">
        <f aca="false">IF(OR($B$4="Все",data_журнал!$H$47=$B$4),data_журнал!C47,"")</f>
        <v>PSP Beta</v>
      </c>
      <c r="D52" s="17" t="str">
        <f aca="false">IF(OR($B$4="Все",data_журнал!$H$47=$B$4),data_журнал!D47,"")</f>
        <v>BET-0927-0000</v>
      </c>
      <c r="E52" s="17" t="str">
        <f aca="false">IF(OR($B$4="Все",data_журнал!$H$47=$B$4),data_журнал!E47,"")</f>
        <v>Сумма</v>
      </c>
      <c r="F52" s="21" t="n">
        <f aca="false">IF(OR($B$4="Все",data_журнал!$H$47=$B$4),data_журнал!F47,"")</f>
        <v>2760.66</v>
      </c>
      <c r="G52" s="17" t="str">
        <f aca="false">IF(OR($B$4="Все",data_журнал!$H$47=$B$4),data_журнал!G47,"")</f>
        <v>Частичный возврат у PSP не отражён во внутреннем учёте</v>
      </c>
      <c r="H52" s="17" t="str">
        <f aca="false">IF(OR($B$4="Все",data_журнал!$H$47=$B$4),data_журнал!H47,"")</f>
        <v>Открыто</v>
      </c>
    </row>
    <row r="53" customFormat="false" ht="15" hidden="false" customHeight="false" outlineLevel="0" collapsed="false">
      <c r="A53" s="17" t="str">
        <f aca="false">IF(OR($B$4="Все",data_журнал!$H$48=$B$4),data_журнал!A48,"")</f>
        <v>BR-047</v>
      </c>
      <c r="B53" s="20" t="n">
        <f aca="false">IF(OR($B$4="Все",data_журнал!$H$48=$B$4),data_журнал!B48,"")</f>
        <v>46292</v>
      </c>
      <c r="C53" s="17" t="str">
        <f aca="false">IF(OR($B$4="Все",data_журнал!$H$48=$B$4),data_журнал!C48,"")</f>
        <v>PSP Gamma</v>
      </c>
      <c r="D53" s="17" t="str">
        <f aca="false">IF(OR($B$4="Все",data_журнал!$H$48=$B$4),data_журнал!D48,"")</f>
        <v>GAM-0927-0000</v>
      </c>
      <c r="E53" s="17" t="str">
        <f aca="false">IF(OR($B$4="Все",data_журнал!$H$48=$B$4),data_журнал!E48,"")</f>
        <v>Нет в учёте</v>
      </c>
      <c r="F53" s="21" t="n">
        <f aca="false">IF(OR($B$4="Все",data_журнал!$H$48=$B$4),data_журнал!F48,"")</f>
        <v>16780.81</v>
      </c>
      <c r="G53" s="17" t="str">
        <f aca="false">IF(OR($B$4="Все",data_журнал!$H$48=$B$4),data_журнал!G48,"")</f>
        <v>Возврат (refund) не загрузился во внутренний учёт</v>
      </c>
      <c r="H53" s="17" t="str">
        <f aca="false">IF(OR($B$4="Все",data_журнал!$H$48=$B$4),data_журнал!H48,"")</f>
        <v>Открыто</v>
      </c>
    </row>
    <row r="54" customFormat="false" ht="15" hidden="false" customHeight="false" outlineLevel="0" collapsed="false">
      <c r="A54" s="17" t="str">
        <f aca="false">IF(OR($B$4="Все",data_журнал!$H$49=$B$4),data_журнал!A49,"")</f>
        <v>BR-048</v>
      </c>
      <c r="B54" s="20" t="n">
        <f aca="false">IF(OR($B$4="Все",data_журнал!$H$49=$B$4),data_журнал!B49,"")</f>
        <v>46293</v>
      </c>
      <c r="C54" s="17" t="str">
        <f aca="false">IF(OR($B$4="Все",data_журнал!$H$49=$B$4),data_журнал!C49,"")</f>
        <v>PSP Gamma</v>
      </c>
      <c r="D54" s="17" t="str">
        <f aca="false">IF(OR($B$4="Все",data_журнал!$H$49=$B$4),data_журнал!D49,"")</f>
        <v>GAM-0928-0000</v>
      </c>
      <c r="E54" s="17" t="str">
        <f aca="false">IF(OR($B$4="Все",data_журнал!$H$49=$B$4),data_журнал!E49,"")</f>
        <v>Комиссия</v>
      </c>
      <c r="F54" s="21" t="n">
        <f aca="false">IF(OR($B$4="Все",data_журнал!$H$49=$B$4),data_журнал!F49,"")</f>
        <v>325.13</v>
      </c>
      <c r="G54" s="17" t="str">
        <f aca="false">IF(OR($B$4="Все",data_журнал!$H$49=$B$4),data_журнал!G49,"")</f>
        <v>PSP применил старую тарифную сетку</v>
      </c>
      <c r="H54" s="17" t="str">
        <f aca="false">IF(OR($B$4="Все",data_журнал!$H$49=$B$4),data_журнал!H49,"")</f>
        <v>Закрыто</v>
      </c>
    </row>
    <row r="55" customFormat="false" ht="15" hidden="false" customHeight="false" outlineLevel="0" collapsed="false">
      <c r="A55" s="17" t="str">
        <f aca="false">IF(OR($B$4="Все",data_журнал!$H$50=$B$4),data_журнал!A50,"")</f>
        <v>BR-049</v>
      </c>
      <c r="B55" s="20" t="n">
        <f aca="false">IF(OR($B$4="Все",data_журнал!$H$50=$B$4),data_журнал!B50,"")</f>
        <v>46293</v>
      </c>
      <c r="C55" s="17" t="str">
        <f aca="false">IF(OR($B$4="Все",data_журнал!$H$50=$B$4),data_журнал!C50,"")</f>
        <v>PSP Gamma</v>
      </c>
      <c r="D55" s="17" t="str">
        <f aca="false">IF(OR($B$4="Все",data_журнал!$H$50=$B$4),data_журнал!D50,"")</f>
        <v>GAM-0928-0001</v>
      </c>
      <c r="E55" s="17" t="str">
        <f aca="false">IF(OR($B$4="Все",data_журнал!$H$50=$B$4),data_журнал!E50,"")</f>
        <v>Сумма</v>
      </c>
      <c r="F55" s="21" t="n">
        <f aca="false">IF(OR($B$4="Все",data_журнал!$H$50=$B$4),data_журнал!F50,"")</f>
        <v>1666.44</v>
      </c>
      <c r="G55" s="17" t="str">
        <f aca="false">IF(OR($B$4="Все",data_журнал!$H$50=$B$4),data_журнал!G50,"")</f>
        <v>Частичный возврат у PSP не отражён во внутреннем учёте</v>
      </c>
      <c r="H55" s="17" t="str">
        <f aca="false">IF(OR($B$4="Все",data_журнал!$H$50=$B$4),data_журнал!H50,"")</f>
        <v>Открыто</v>
      </c>
    </row>
    <row r="56" customFormat="false" ht="15" hidden="false" customHeight="false" outlineLevel="0" collapsed="false">
      <c r="A56" s="17" t="str">
        <f aca="false">IF(OR($B$4="Все",data_журнал!$H$51=$B$4),data_журнал!A51,"")</f>
        <v>BR-050</v>
      </c>
      <c r="B56" s="20" t="n">
        <f aca="false">IF(OR($B$4="Все",data_журнал!$H$51=$B$4),data_журнал!B51,"")</f>
        <v>46294</v>
      </c>
      <c r="C56" s="17" t="str">
        <f aca="false">IF(OR($B$4="Все",data_журнал!$H$51=$B$4),data_журнал!C51,"")</f>
        <v>PSP Gamma</v>
      </c>
      <c r="D56" s="17" t="str">
        <f aca="false">IF(OR($B$4="Все",data_журнал!$H$51=$B$4),data_журнал!D51,"")</f>
        <v>GAM-0929-0000</v>
      </c>
      <c r="E56" s="17" t="str">
        <f aca="false">IF(OR($B$4="Все",data_журнал!$H$51=$B$4),data_журнал!E51,"")</f>
        <v>Комиссия</v>
      </c>
      <c r="F56" s="21" t="n">
        <f aca="false">IF(OR($B$4="Все",data_журнал!$H$51=$B$4),data_журнал!F51,"")</f>
        <v>72.46</v>
      </c>
      <c r="G56" s="17" t="str">
        <f aca="false">IF(OR($B$4="Все",data_журнал!$H$51=$B$4),data_журнал!G51,"")</f>
        <v>PSP применил старую тарифную сетку</v>
      </c>
      <c r="H56" s="17" t="str">
        <f aca="false">IF(OR($B$4="Все",data_журнал!$H$51=$B$4),data_журнал!H51,"")</f>
        <v>Открыто</v>
      </c>
    </row>
    <row r="57" customFormat="false" ht="15" hidden="false" customHeight="false" outlineLevel="0" collapsed="false">
      <c r="A57" s="17" t="str">
        <f aca="false">IF(OR($B$4="Все",data_журнал!$H$52=$B$4),data_журнал!A52,"")</f>
        <v>BR-051</v>
      </c>
      <c r="B57" s="20" t="n">
        <f aca="false">IF(OR($B$4="Все",data_журнал!$H$52=$B$4),data_журнал!B52,"")</f>
        <v>46294</v>
      </c>
      <c r="C57" s="17" t="str">
        <f aca="false">IF(OR($B$4="Все",data_журнал!$H$52=$B$4),data_журнал!C52,"")</f>
        <v>PSP Gamma</v>
      </c>
      <c r="D57" s="17" t="str">
        <f aca="false">IF(OR($B$4="Все",data_журнал!$H$52=$B$4),data_журнал!D52,"")</f>
        <v>GAM-0929-0001</v>
      </c>
      <c r="E57" s="17" t="str">
        <f aca="false">IF(OR($B$4="Все",data_журнал!$H$52=$B$4),data_журнал!E52,"")</f>
        <v>Статус</v>
      </c>
      <c r="F57" s="21" t="n">
        <f aca="false">IF(OR($B$4="Все",data_журнал!$H$52=$B$4),data_журнал!F52,"")</f>
        <v>15366.83</v>
      </c>
      <c r="G57" s="17" t="str">
        <f aca="false">IF(OR($B$4="Все",data_журнал!$H$52=$B$4),data_журнал!G52,"")</f>
        <v>Таймаут: у нас success, у PSP failed — PSP подтвердил позже</v>
      </c>
      <c r="H57" s="17" t="str">
        <f aca="false">IF(OR($B$4="Все",data_журнал!$H$52=$B$4),data_журнал!H52,"")</f>
        <v>В работе</v>
      </c>
    </row>
    <row r="58" customFormat="false" ht="15" hidden="false" customHeight="false" outlineLevel="0" collapsed="false">
      <c r="A58" s="17" t="str">
        <f aca="false">IF(OR($B$4="Все",data_журнал!$H$53=$B$4),data_журнал!A53,"")</f>
        <v>BR-052</v>
      </c>
      <c r="B58" s="20" t="n">
        <f aca="false">IF(OR($B$4="Все",data_журнал!$H$53=$B$4),data_журнал!B53,"")</f>
        <v>46295</v>
      </c>
      <c r="C58" s="17" t="str">
        <f aca="false">IF(OR($B$4="Все",data_журнал!$H$53=$B$4),data_журнал!C53,"")</f>
        <v>PSP Gamma</v>
      </c>
      <c r="D58" s="17" t="str">
        <f aca="false">IF(OR($B$4="Все",data_журнал!$H$53=$B$4),data_журнал!D53,"")</f>
        <v>GAM-0930-0000</v>
      </c>
      <c r="E58" s="17" t="str">
        <f aca="false">IF(OR($B$4="Все",data_журнал!$H$53=$B$4),data_журнал!E53,"")</f>
        <v>Комиссия</v>
      </c>
      <c r="F58" s="21" t="n">
        <f aca="false">IF(OR($B$4="Все",data_журнал!$H$53=$B$4),data_журнал!F53,"")</f>
        <v>1177.83</v>
      </c>
      <c r="G58" s="17" t="str">
        <f aca="false">IF(OR($B$4="Все",data_журнал!$H$53=$B$4),data_журнал!G53,"")</f>
        <v>PSP применил старую тарифную сетку</v>
      </c>
      <c r="H58" s="17" t="str">
        <f aca="false">IF(OR($B$4="Все",data_журнал!$H$53=$B$4),data_журнал!H53,"")</f>
        <v>В работе</v>
      </c>
    </row>
    <row r="59" customFormat="false" ht="15" hidden="false" customHeight="false" outlineLevel="0" collapsed="false">
      <c r="A59" s="17" t="str">
        <f aca="false">IF(OR($B$4="Все",data_журнал!$H$54=$B$4),data_журнал!A54,"")</f>
        <v>BR-053</v>
      </c>
      <c r="B59" s="20" t="n">
        <f aca="false">IF(OR($B$4="Все",data_журнал!$H$54=$B$4),data_журнал!B54,"")</f>
        <v>46295</v>
      </c>
      <c r="C59" s="17" t="str">
        <f aca="false">IF(OR($B$4="Все",data_журнал!$H$54=$B$4),data_журнал!C54,"")</f>
        <v>PSP Gamma</v>
      </c>
      <c r="D59" s="17" t="str">
        <f aca="false">IF(OR($B$4="Все",data_журнал!$H$54=$B$4),data_журнал!D54,"")</f>
        <v>GAM-0930-0001</v>
      </c>
      <c r="E59" s="17" t="str">
        <f aca="false">IF(OR($B$4="Все",data_журнал!$H$54=$B$4),data_журнал!E54,"")</f>
        <v>Статус</v>
      </c>
      <c r="F59" s="21" t="n">
        <f aca="false">IF(OR($B$4="Все",data_журнал!$H$54=$B$4),data_журнал!F54,"")</f>
        <v>18287.29</v>
      </c>
      <c r="G59" s="17" t="str">
        <f aca="false">IF(OR($B$4="Все",data_журнал!$H$54=$B$4),data_журнал!G54,"")</f>
        <v>Таймаут: у нас success, у PSP failed — PSP подтвердил позже</v>
      </c>
      <c r="H59" s="17" t="str">
        <f aca="false">IF(OR($B$4="Все",data_журнал!$H$54=$B$4),data_журнал!H54,"")</f>
        <v>Открыто</v>
      </c>
    </row>
  </sheetData>
  <conditionalFormatting sqref="A7:H59">
    <cfRule type="expression" priority="2" aboveAverage="0" equalAverage="0" bottom="0" percent="0" rank="0" text="" dxfId="0">
      <formula>$H7="Открыто"</formula>
    </cfRule>
    <cfRule type="expression" priority="3" aboveAverage="0" equalAverage="0" bottom="0" percent="0" rank="0" text="" dxfId="1">
      <formula>$H7="В работе"</formula>
    </cfRule>
  </conditionalFormatting>
  <dataValidations count="1">
    <dataValidation allowBlank="false" errorStyle="stop" operator="between" showDropDown="false" showErrorMessage="false" showInputMessage="false" sqref="B4" type="list">
      <formula1>"Все,Открыто,В работе,Закрыто"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4"/>
    <col collapsed="false" customWidth="true" hidden="false" outlineLevel="0" max="5" min="5" style="0" width="3"/>
    <col collapsed="false" customWidth="true" hidden="false" outlineLevel="0" max="6" min="6" style="0" width="18"/>
    <col collapsed="false" customWidth="true" hidden="false" outlineLevel="0" max="9" min="7" style="0" width="14"/>
  </cols>
  <sheetData>
    <row r="1" customFormat="false" ht="19.7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2" t="s">
        <v>35</v>
      </c>
      <c r="B4" s="22" t="n">
        <v>50000</v>
      </c>
      <c r="C4" s="2" t="s">
        <v>36</v>
      </c>
      <c r="D4" s="3" t="n">
        <v>7</v>
      </c>
    </row>
    <row r="6" customFormat="false" ht="23.85" hidden="false" customHeight="false" outlineLevel="0" collapsed="false">
      <c r="A6" s="10" t="s">
        <v>20</v>
      </c>
      <c r="B6" s="11" t="s">
        <v>37</v>
      </c>
      <c r="C6" s="11" t="s">
        <v>38</v>
      </c>
      <c r="D6" s="11" t="s">
        <v>39</v>
      </c>
      <c r="F6" s="10" t="s">
        <v>40</v>
      </c>
      <c r="G6" s="11" t="s">
        <v>13</v>
      </c>
      <c r="H6" s="11" t="s">
        <v>14</v>
      </c>
      <c r="I6" s="11" t="s">
        <v>15</v>
      </c>
    </row>
    <row r="7" customFormat="false" ht="15" hidden="false" customHeight="false" outlineLevel="0" collapsed="false">
      <c r="A7" s="18" t="n">
        <v>46266</v>
      </c>
      <c r="B7" s="21" t="n">
        <f aca="false">SUMIFS(data_балансы!$D$2:$D$91,data_балансы!$A$2:$A$91,$A7,data_балансы!$B$2:$B$91,"PSP Alfa")-SUMIFS(data_балансы!$C$2:$C$91,data_балансы!$A$2:$A$91,$A7,data_балансы!$B$2:$B$91,"PSP Alfa")</f>
        <v>-3626.21999999974</v>
      </c>
      <c r="C7" s="21" t="n">
        <f aca="false">SUMIFS(data_балансы!$D$2:$D$91,data_балансы!$A$2:$A$91,$A7,data_балансы!$B$2:$B$91,"PSP Beta")-SUMIFS(data_балансы!$C$2:$C$91,data_балансы!$A$2:$A$91,$A7,data_балансы!$B$2:$B$91,"PSP Beta")</f>
        <v>-6897.51999999955</v>
      </c>
      <c r="D7" s="21" t="n">
        <f aca="false">SUMIFS(data_балансы!$D$2:$D$91,data_балансы!$A$2:$A$91,$A7,data_балансы!$B$2:$B$91,"PSP Gamma")-SUMIFS(data_балансы!$C$2:$C$91,data_балансы!$A$2:$A$91,$A7,data_балансы!$B$2:$B$91,"PSP Gamma")</f>
        <v>-8175.50999999978</v>
      </c>
      <c r="F7" s="17" t="s">
        <v>41</v>
      </c>
      <c r="G7" s="21" t="n">
        <f aca="false">B36</f>
        <v>-1935.38000000082</v>
      </c>
      <c r="H7" s="21" t="n">
        <f aca="false">C36</f>
        <v>-6510.03999999911</v>
      </c>
      <c r="I7" s="21" t="n">
        <f aca="false">D36</f>
        <v>-46782.6699999999</v>
      </c>
    </row>
    <row r="8" customFormat="false" ht="15" hidden="false" customHeight="false" outlineLevel="0" collapsed="false">
      <c r="A8" s="18" t="n">
        <v>46267</v>
      </c>
      <c r="B8" s="21" t="n">
        <f aca="false">SUMIFS(data_балансы!$D$2:$D$91,data_балансы!$A$2:$A$91,$A8,data_балансы!$B$2:$B$91,"PSP Alfa")-SUMIFS(data_балансы!$C$2:$C$91,data_балансы!$A$2:$A$91,$A8,data_балансы!$B$2:$B$91,"PSP Alfa")</f>
        <v>9957.72999999952</v>
      </c>
      <c r="C8" s="21" t="n">
        <f aca="false">SUMIFS(data_балансы!$D$2:$D$91,data_балансы!$A$2:$A$91,$A8,data_балансы!$B$2:$B$91,"PSP Beta")-SUMIFS(data_балансы!$C$2:$C$91,data_балансы!$A$2:$A$91,$A8,data_балансы!$B$2:$B$91,"PSP Beta")</f>
        <v>1145.18999999948</v>
      </c>
      <c r="D8" s="21" t="n">
        <f aca="false">SUMIFS(data_балансы!$D$2:$D$91,data_балансы!$A$2:$A$91,$A8,data_балансы!$B$2:$B$91,"PSP Gamma")-SUMIFS(data_балансы!$C$2:$C$91,data_балансы!$A$2:$A$91,$A8,data_балансы!$B$2:$B$91,"PSP Gamma")</f>
        <v>-14575.5500000003</v>
      </c>
      <c r="F8" s="17" t="s">
        <v>42</v>
      </c>
      <c r="G8" s="21" t="n">
        <f aca="false">MIN(B7:B36)</f>
        <v>-14229.6500000004</v>
      </c>
      <c r="H8" s="21" t="n">
        <f aca="false">MIN(C7:C36)</f>
        <v>-98636.4000000004</v>
      </c>
      <c r="I8" s="21" t="n">
        <f aca="false">MIN(D7:D36)</f>
        <v>-57379.0600000005</v>
      </c>
    </row>
    <row r="9" customFormat="false" ht="15" hidden="false" customHeight="false" outlineLevel="0" collapsed="false">
      <c r="A9" s="18" t="n">
        <v>46268</v>
      </c>
      <c r="B9" s="21" t="n">
        <f aca="false">SUMIFS(data_балансы!$D$2:$D$91,data_балансы!$A$2:$A$91,$A9,data_балансы!$B$2:$B$91,"PSP Alfa")-SUMIFS(data_балансы!$C$2:$C$91,data_балансы!$A$2:$A$91,$A9,data_балансы!$B$2:$B$91,"PSP Alfa")</f>
        <v>-12542.8099999996</v>
      </c>
      <c r="C9" s="21" t="n">
        <f aca="false">SUMIFS(data_балансы!$D$2:$D$91,data_балансы!$A$2:$A$91,$A9,data_балансы!$B$2:$B$91,"PSP Beta")-SUMIFS(data_балансы!$C$2:$C$91,data_балансы!$A$2:$A$91,$A9,data_балансы!$B$2:$B$91,"PSP Beta")</f>
        <v>-1932.76999999955</v>
      </c>
      <c r="D9" s="21" t="n">
        <f aca="false">SUMIFS(data_балансы!$D$2:$D$91,data_балансы!$A$2:$A$91,$A9,data_балансы!$B$2:$B$91,"PSP Gamma")-SUMIFS(data_балансы!$C$2:$C$91,data_балансы!$A$2:$A$91,$A9,data_балансы!$B$2:$B$91,"PSP Gamma")</f>
        <v>-6770.66000000015</v>
      </c>
      <c r="F9" s="17" t="s">
        <v>43</v>
      </c>
      <c r="G9" s="13" t="n">
        <f aca="false">COUNTIF(B7:B36,"&gt;"&amp;$B$4)+COUNTIF(B7:B36,"&lt;"&amp;-$B$4)</f>
        <v>0</v>
      </c>
      <c r="H9" s="13" t="n">
        <f aca="false">COUNTIF(C7:C36,"&gt;"&amp;$B$4)+COUNTIF(C7:C36,"&lt;"&amp;-$B$4)</f>
        <v>2</v>
      </c>
      <c r="I9" s="13" t="n">
        <f aca="false">COUNTIF(D7:D36,"&gt;"&amp;$B$4)+COUNTIF(D7:D36,"&lt;"&amp;-$B$4)</f>
        <v>3</v>
      </c>
    </row>
    <row r="10" customFormat="false" ht="15" hidden="false" customHeight="false" outlineLevel="0" collapsed="false">
      <c r="A10" s="18" t="n">
        <v>46269</v>
      </c>
      <c r="B10" s="21" t="n">
        <f aca="false">SUMIFS(data_балансы!$D$2:$D$91,data_балансы!$A$2:$A$91,$A10,data_балансы!$B$2:$B$91,"PSP Alfa")-SUMIFS(data_балансы!$C$2:$C$91,data_балансы!$A$2:$A$91,$A10,data_балансы!$B$2:$B$91,"PSP Alfa")</f>
        <v>1182.58000000007</v>
      </c>
      <c r="C10" s="21" t="n">
        <f aca="false">SUMIFS(data_балансы!$D$2:$D$91,data_балансы!$A$2:$A$91,$A10,data_балансы!$B$2:$B$91,"PSP Beta")-SUMIFS(data_балансы!$C$2:$C$91,data_балансы!$A$2:$A$91,$A10,data_балансы!$B$2:$B$91,"PSP Beta")</f>
        <v>-6948.13999999873</v>
      </c>
      <c r="D10" s="21" t="n">
        <f aca="false">SUMIFS(data_балансы!$D$2:$D$91,data_балансы!$A$2:$A$91,$A10,data_балансы!$B$2:$B$91,"PSP Gamma")-SUMIFS(data_балансы!$C$2:$C$91,data_балансы!$A$2:$A$91,$A10,data_балансы!$B$2:$B$91,"PSP Gamma")</f>
        <v>1600.77000000048</v>
      </c>
      <c r="F10" s="17" t="s">
        <v>44</v>
      </c>
      <c r="G10" s="13" t="n">
        <f aca="false">SUMPRODUCT(--(B8:B36&lt;B7:B35))</f>
        <v>16</v>
      </c>
      <c r="H10" s="13" t="n">
        <f aca="false">SUMPRODUCT(--(C8:C36&lt;C7:C35))</f>
        <v>16</v>
      </c>
      <c r="I10" s="13" t="n">
        <f aca="false">SUMPRODUCT(--(D8:D36&lt;D7:D35))</f>
        <v>14</v>
      </c>
    </row>
    <row r="11" customFormat="false" ht="15" hidden="false" customHeight="false" outlineLevel="0" collapsed="false">
      <c r="A11" s="18" t="n">
        <v>46270</v>
      </c>
      <c r="B11" s="21" t="n">
        <f aca="false">SUMIFS(data_балансы!$D$2:$D$91,data_балансы!$A$2:$A$91,$A11,data_балансы!$B$2:$B$91,"PSP Alfa")-SUMIFS(data_балансы!$C$2:$C$91,data_балансы!$A$2:$A$91,$A11,data_балансы!$B$2:$B$91,"PSP Alfa")</f>
        <v>-4501.18000000063</v>
      </c>
      <c r="C11" s="21" t="n">
        <f aca="false">SUMIFS(data_балансы!$D$2:$D$91,data_балансы!$A$2:$A$91,$A11,data_балансы!$B$2:$B$91,"PSP Beta")-SUMIFS(data_балансы!$C$2:$C$91,data_балансы!$A$2:$A$91,$A11,data_балансы!$B$2:$B$91,"PSP Beta")</f>
        <v>9921.93000000157</v>
      </c>
      <c r="D11" s="21" t="n">
        <f aca="false">SUMIFS(data_балансы!$D$2:$D$91,data_балансы!$A$2:$A$91,$A11,data_балансы!$B$2:$B$91,"PSP Gamma")-SUMIFS(data_балансы!$C$2:$C$91,data_балансы!$A$2:$A$91,$A11,data_балансы!$B$2:$B$91,"PSP Gamma")</f>
        <v>-11211.6200000001</v>
      </c>
    </row>
    <row r="12" customFormat="false" ht="15" hidden="false" customHeight="false" outlineLevel="0" collapsed="false">
      <c r="A12" s="18" t="n">
        <v>46271</v>
      </c>
      <c r="B12" s="21" t="n">
        <f aca="false">SUMIFS(data_балансы!$D$2:$D$91,data_балансы!$A$2:$A$91,$A12,data_балансы!$B$2:$B$91,"PSP Alfa")-SUMIFS(data_балансы!$C$2:$C$91,data_балансы!$A$2:$A$91,$A12,data_балансы!$B$2:$B$91,"PSP Alfa")</f>
        <v>8436.99000000022</v>
      </c>
      <c r="C12" s="21" t="n">
        <f aca="false">SUMIFS(data_балансы!$D$2:$D$91,data_балансы!$A$2:$A$91,$A12,data_балансы!$B$2:$B$91,"PSP Beta")-SUMIFS(data_балансы!$C$2:$C$91,data_балансы!$A$2:$A$91,$A12,data_балансы!$B$2:$B$91,"PSP Beta")</f>
        <v>11448.9299999997</v>
      </c>
      <c r="D12" s="21" t="n">
        <f aca="false">SUMIFS(data_балансы!$D$2:$D$91,data_балансы!$A$2:$A$91,$A12,data_балансы!$B$2:$B$91,"PSP Gamma")-SUMIFS(data_балансы!$C$2:$C$91,data_балансы!$A$2:$A$91,$A12,data_балансы!$B$2:$B$91,"PSP Gamma")</f>
        <v>-273.639999999665</v>
      </c>
      <c r="F12" s="10" t="s">
        <v>45</v>
      </c>
      <c r="G12" s="11" t="s">
        <v>13</v>
      </c>
      <c r="H12" s="11" t="s">
        <v>14</v>
      </c>
      <c r="I12" s="11" t="s">
        <v>15</v>
      </c>
    </row>
    <row r="13" customFormat="false" ht="15" hidden="false" customHeight="false" outlineLevel="0" collapsed="false">
      <c r="A13" s="18" t="n">
        <v>46272</v>
      </c>
      <c r="B13" s="21" t="n">
        <f aca="false">SUMIFS(data_балансы!$D$2:$D$91,data_балансы!$A$2:$A$91,$A13,data_балансы!$B$2:$B$91,"PSP Alfa")-SUMIFS(data_балансы!$C$2:$C$91,data_балансы!$A$2:$A$91,$A13,data_балансы!$B$2:$B$91,"PSP Alfa")</f>
        <v>7627</v>
      </c>
      <c r="C13" s="21" t="n">
        <f aca="false">SUMIFS(data_балансы!$D$2:$D$91,data_балансы!$A$2:$A$91,$A13,data_балансы!$B$2:$B$91,"PSP Beta")-SUMIFS(data_балансы!$C$2:$C$91,data_балансы!$A$2:$A$91,$A13,data_балансы!$B$2:$B$91,"PSP Beta")</f>
        <v>-1058.74000000022</v>
      </c>
      <c r="D13" s="21" t="n">
        <f aca="false">SUMIFS(data_балансы!$D$2:$D$91,data_балансы!$A$2:$A$91,$A13,data_балансы!$B$2:$B$91,"PSP Gamma")-SUMIFS(data_балансы!$C$2:$C$91,data_балансы!$A$2:$A$91,$A13,data_балансы!$B$2:$B$91,"PSP Gamma")</f>
        <v>2221.9299999997</v>
      </c>
      <c r="F13" s="17" t="s">
        <v>46</v>
      </c>
      <c r="G13" s="21" t="n">
        <f aca="true">AVERAGE(OFFSET(B36,-$D$4+1,0,$D$4,1))</f>
        <v>2598.51142857091</v>
      </c>
      <c r="H13" s="21" t="n">
        <f aca="true">AVERAGE(OFFSET(C36,-$D$4+1,0,$D$4,1))</f>
        <v>-2533.69000000054</v>
      </c>
      <c r="I13" s="21" t="n">
        <f aca="true">AVERAGE(OFFSET(D36,-$D$4+1,0,$D$4,1))</f>
        <v>-50890.9299999997</v>
      </c>
    </row>
    <row r="14" customFormat="false" ht="15" hidden="false" customHeight="false" outlineLevel="0" collapsed="false">
      <c r="A14" s="18" t="n">
        <v>46273</v>
      </c>
      <c r="B14" s="21" t="n">
        <f aca="false">SUMIFS(data_балансы!$D$2:$D$91,data_балансы!$A$2:$A$91,$A14,data_балансы!$B$2:$B$91,"PSP Alfa")-SUMIFS(data_балансы!$C$2:$C$91,data_балансы!$A$2:$A$91,$A14,data_балансы!$B$2:$B$91,"PSP Alfa")</f>
        <v>-9019.1799999997</v>
      </c>
      <c r="C14" s="21" t="n">
        <f aca="false">SUMIFS(data_балансы!$D$2:$D$91,data_балансы!$A$2:$A$91,$A14,data_балансы!$B$2:$B$91,"PSP Beta")-SUMIFS(data_балансы!$C$2:$C$91,data_балансы!$A$2:$A$91,$A14,data_балансы!$B$2:$B$91,"PSP Beta")</f>
        <v>-3630.31999999844</v>
      </c>
      <c r="D14" s="21" t="n">
        <f aca="false">SUMIFS(data_балансы!$D$2:$D$91,data_балансы!$A$2:$A$91,$A14,data_балансы!$B$2:$B$91,"PSP Gamma")-SUMIFS(data_балансы!$C$2:$C$91,data_балансы!$A$2:$A$91,$A14,data_балансы!$B$2:$B$91,"PSP Gamma")</f>
        <v>-1785.93999999948</v>
      </c>
      <c r="F14" s="17" t="s">
        <v>47</v>
      </c>
      <c r="G14" s="21" t="n">
        <f aca="true">AVERAGE(OFFSET(B36,-2*$D$4+1,0,$D$4,1))</f>
        <v>2717.04857142842</v>
      </c>
      <c r="H14" s="21" t="n">
        <f aca="true">AVERAGE(OFFSET(C36,-2*$D$4+1,0,$D$4,1))</f>
        <v>1443.98571428577</v>
      </c>
      <c r="I14" s="21" t="n">
        <f aca="true">AVERAGE(OFFSET(D36,-2*$D$4+1,0,$D$4,1))</f>
        <v>-24028.595714286</v>
      </c>
    </row>
    <row r="15" customFormat="false" ht="15" hidden="false" customHeight="false" outlineLevel="0" collapsed="false">
      <c r="A15" s="18" t="n">
        <v>46274</v>
      </c>
      <c r="B15" s="21" t="n">
        <f aca="false">SUMIFS(data_балансы!$D$2:$D$91,data_балансы!$A$2:$A$91,$A15,data_балансы!$B$2:$B$91,"PSP Alfa")-SUMIFS(data_балансы!$C$2:$C$91,data_балансы!$A$2:$A$91,$A15,data_балансы!$B$2:$B$91,"PSP Alfa")</f>
        <v>-10428.5299999993</v>
      </c>
      <c r="C15" s="21" t="n">
        <f aca="false">SUMIFS(data_балансы!$D$2:$D$91,data_балансы!$A$2:$A$91,$A15,data_балансы!$B$2:$B$91,"PSP Beta")-SUMIFS(data_балансы!$C$2:$C$91,data_балансы!$A$2:$A$91,$A15,data_балансы!$B$2:$B$91,"PSP Beta")</f>
        <v>-79471.4100000002</v>
      </c>
      <c r="D15" s="21" t="n">
        <f aca="false">SUMIFS(data_балансы!$D$2:$D$91,data_балансы!$A$2:$A$91,$A15,data_балансы!$B$2:$B$91,"PSP Gamma")-SUMIFS(data_балансы!$C$2:$C$91,data_балансы!$A$2:$A$91,$A15,data_балансы!$B$2:$B$91,"PSP Gamma")</f>
        <v>-13458.7000000002</v>
      </c>
      <c r="F15" s="17" t="s">
        <v>48</v>
      </c>
      <c r="G15" s="17" t="str">
        <f aca="false">IF(AND(G13&lt;G14,ABS(G13)&gt;$B$4/2),"Проверить","Норма")</f>
        <v>Норма</v>
      </c>
      <c r="H15" s="17" t="str">
        <f aca="false">IF(AND(H13&lt;H14,ABS(H13)&gt;$B$4/2),"Проверить","Норма")</f>
        <v>Норма</v>
      </c>
      <c r="I15" s="17" t="str">
        <f aca="false">IF(AND(I13&lt;I14,ABS(I13)&gt;$B$4/2),"Проверить","Норма")</f>
        <v>Проверить</v>
      </c>
    </row>
    <row r="16" customFormat="false" ht="15" hidden="false" customHeight="false" outlineLevel="0" collapsed="false">
      <c r="A16" s="18" t="n">
        <v>46275</v>
      </c>
      <c r="B16" s="21" t="n">
        <f aca="false">SUMIFS(data_балансы!$D$2:$D$91,data_балансы!$A$2:$A$91,$A16,data_балансы!$B$2:$B$91,"PSP Alfa")-SUMIFS(data_балансы!$C$2:$C$91,data_балансы!$A$2:$A$91,$A16,data_балансы!$B$2:$B$91,"PSP Alfa")</f>
        <v>5083.76000000071</v>
      </c>
      <c r="C16" s="21" t="n">
        <f aca="false">SUMIFS(data_балансы!$D$2:$D$91,data_балансы!$A$2:$A$91,$A16,data_балансы!$B$2:$B$91,"PSP Beta")-SUMIFS(data_балансы!$C$2:$C$91,data_балансы!$A$2:$A$91,$A16,data_балансы!$B$2:$B$91,"PSP Beta")</f>
        <v>-98636.4000000004</v>
      </c>
      <c r="D16" s="21" t="n">
        <f aca="false">SUMIFS(data_балансы!$D$2:$D$91,data_балансы!$A$2:$A$91,$A16,data_балансы!$B$2:$B$91,"PSP Gamma")-SUMIFS(data_балансы!$C$2:$C$91,data_балансы!$A$2:$A$91,$A16,data_балансы!$B$2:$B$91,"PSP Gamma")</f>
        <v>-668.120000000112</v>
      </c>
    </row>
    <row r="17" customFormat="false" ht="15" hidden="false" customHeight="false" outlineLevel="0" collapsed="false">
      <c r="A17" s="18" t="n">
        <v>46276</v>
      </c>
      <c r="B17" s="21" t="n">
        <f aca="false">SUMIFS(data_балансы!$D$2:$D$91,data_балансы!$A$2:$A$91,$A17,data_балансы!$B$2:$B$91,"PSP Alfa")-SUMIFS(data_балансы!$C$2:$C$91,data_балансы!$A$2:$A$91,$A17,data_балансы!$B$2:$B$91,"PSP Alfa")</f>
        <v>-8461.05999999959</v>
      </c>
      <c r="C17" s="21" t="n">
        <f aca="false">SUMIFS(data_балансы!$D$2:$D$91,data_балансы!$A$2:$A$91,$A17,data_балансы!$B$2:$B$91,"PSP Beta")-SUMIFS(data_балансы!$C$2:$C$91,data_балансы!$A$2:$A$91,$A17,data_балансы!$B$2:$B$91,"PSP Beta")</f>
        <v>-4789.83000000007</v>
      </c>
      <c r="D17" s="21" t="n">
        <f aca="false">SUMIFS(data_балансы!$D$2:$D$91,data_балансы!$A$2:$A$91,$A17,data_балансы!$B$2:$B$91,"PSP Gamma")-SUMIFS(data_балансы!$C$2:$C$91,data_балансы!$A$2:$A$91,$A17,data_балансы!$B$2:$B$91,"PSP Gamma")</f>
        <v>-2978.78000000026</v>
      </c>
    </row>
    <row r="18" customFormat="false" ht="15" hidden="false" customHeight="false" outlineLevel="0" collapsed="false">
      <c r="A18" s="18" t="n">
        <v>46277</v>
      </c>
      <c r="B18" s="21" t="n">
        <f aca="false">SUMIFS(data_балансы!$D$2:$D$91,data_балансы!$A$2:$A$91,$A18,data_балансы!$B$2:$B$91,"PSP Alfa")-SUMIFS(data_балансы!$C$2:$C$91,data_балансы!$A$2:$A$91,$A18,data_балансы!$B$2:$B$91,"PSP Alfa")</f>
        <v>8006.94000000041</v>
      </c>
      <c r="C18" s="21" t="n">
        <f aca="false">SUMIFS(data_балансы!$D$2:$D$91,data_балансы!$A$2:$A$91,$A18,data_балансы!$B$2:$B$91,"PSP Beta")-SUMIFS(data_балансы!$C$2:$C$91,data_балансы!$A$2:$A$91,$A18,data_балансы!$B$2:$B$91,"PSP Beta")</f>
        <v>6035.50999999978</v>
      </c>
      <c r="D18" s="21" t="n">
        <f aca="false">SUMIFS(data_балансы!$D$2:$D$91,data_балансы!$A$2:$A$91,$A18,data_балансы!$B$2:$B$91,"PSP Gamma")-SUMIFS(data_балансы!$C$2:$C$91,data_балансы!$A$2:$A$91,$A18,data_балансы!$B$2:$B$91,"PSP Gamma")</f>
        <v>3883.37000000011</v>
      </c>
    </row>
    <row r="19" customFormat="false" ht="15" hidden="false" customHeight="false" outlineLevel="0" collapsed="false">
      <c r="A19" s="18" t="n">
        <v>46278</v>
      </c>
      <c r="B19" s="21" t="n">
        <f aca="false">SUMIFS(data_балансы!$D$2:$D$91,data_балансы!$A$2:$A$91,$A19,data_балансы!$B$2:$B$91,"PSP Alfa")-SUMIFS(data_балансы!$C$2:$C$91,data_балансы!$A$2:$A$91,$A19,data_балансы!$B$2:$B$91,"PSP Alfa")</f>
        <v>3217.43000000063</v>
      </c>
      <c r="C19" s="21" t="n">
        <f aca="false">SUMIFS(data_балансы!$D$2:$D$91,data_балансы!$A$2:$A$91,$A19,data_балансы!$B$2:$B$91,"PSP Beta")-SUMIFS(data_балансы!$C$2:$C$91,data_балансы!$A$2:$A$91,$A19,data_балансы!$B$2:$B$91,"PSP Beta")</f>
        <v>-14695.459999999</v>
      </c>
      <c r="D19" s="21" t="n">
        <f aca="false">SUMIFS(data_балансы!$D$2:$D$91,data_балансы!$A$2:$A$91,$A19,data_балансы!$B$2:$B$91,"PSP Gamma")-SUMIFS(data_балансы!$C$2:$C$91,data_балансы!$A$2:$A$91,$A19,data_балансы!$B$2:$B$91,"PSP Gamma")</f>
        <v>-10524.0800000001</v>
      </c>
    </row>
    <row r="20" customFormat="false" ht="15" hidden="false" customHeight="false" outlineLevel="0" collapsed="false">
      <c r="A20" s="18" t="n">
        <v>46279</v>
      </c>
      <c r="B20" s="21" t="n">
        <f aca="false">SUMIFS(data_балансы!$D$2:$D$91,data_балансы!$A$2:$A$91,$A20,data_балансы!$B$2:$B$91,"PSP Alfa")-SUMIFS(data_балансы!$C$2:$C$91,data_балансы!$A$2:$A$91,$A20,data_балансы!$B$2:$B$91,"PSP Alfa")</f>
        <v>-11564.0200000005</v>
      </c>
      <c r="C20" s="21" t="n">
        <f aca="false">SUMIFS(data_балансы!$D$2:$D$91,data_балансы!$A$2:$A$91,$A20,data_балансы!$B$2:$B$91,"PSP Beta")-SUMIFS(data_балансы!$C$2:$C$91,data_балансы!$A$2:$A$91,$A20,data_балансы!$B$2:$B$91,"PSP Beta")</f>
        <v>-12431.6100000013</v>
      </c>
      <c r="D20" s="21" t="n">
        <f aca="false">SUMIFS(data_балансы!$D$2:$D$91,data_балансы!$A$2:$A$91,$A20,data_балансы!$B$2:$B$91,"PSP Gamma")-SUMIFS(data_балансы!$C$2:$C$91,data_балансы!$A$2:$A$91,$A20,data_балансы!$B$2:$B$91,"PSP Gamma")</f>
        <v>-9384.9299999997</v>
      </c>
    </row>
    <row r="21" customFormat="false" ht="15" hidden="false" customHeight="false" outlineLevel="0" collapsed="false">
      <c r="A21" s="18" t="n">
        <v>46280</v>
      </c>
      <c r="B21" s="21" t="n">
        <f aca="false">SUMIFS(data_балансы!$D$2:$D$91,data_балансы!$A$2:$A$91,$A21,data_балансы!$B$2:$B$91,"PSP Alfa")-SUMIFS(data_балансы!$C$2:$C$91,data_балансы!$A$2:$A$91,$A21,data_балансы!$B$2:$B$91,"PSP Alfa")</f>
        <v>13941.6200000001</v>
      </c>
      <c r="C21" s="21" t="n">
        <f aca="false">SUMIFS(data_балансы!$D$2:$D$91,data_балансы!$A$2:$A$91,$A21,data_балансы!$B$2:$B$91,"PSP Beta")-SUMIFS(data_балансы!$C$2:$C$91,data_балансы!$A$2:$A$91,$A21,data_балансы!$B$2:$B$91,"PSP Beta")</f>
        <v>-342.660000000149</v>
      </c>
      <c r="D21" s="21" t="n">
        <f aca="false">SUMIFS(data_балансы!$D$2:$D$91,data_балансы!$A$2:$A$91,$A21,data_балансы!$B$2:$B$91,"PSP Gamma")-SUMIFS(data_балансы!$C$2:$C$91,data_балансы!$A$2:$A$91,$A21,data_балансы!$B$2:$B$91,"PSP Gamma")</f>
        <v>-18446.46</v>
      </c>
    </row>
    <row r="22" customFormat="false" ht="15" hidden="false" customHeight="false" outlineLevel="0" collapsed="false">
      <c r="A22" s="18" t="n">
        <v>46281</v>
      </c>
      <c r="B22" s="21" t="n">
        <f aca="false">SUMIFS(data_балансы!$D$2:$D$91,data_балансы!$A$2:$A$91,$A22,data_балансы!$B$2:$B$91,"PSP Alfa")-SUMIFS(data_балансы!$C$2:$C$91,data_балансы!$A$2:$A$91,$A22,data_балансы!$B$2:$B$91,"PSP Alfa")</f>
        <v>-14229.6500000004</v>
      </c>
      <c r="C22" s="21" t="n">
        <f aca="false">SUMIFS(data_балансы!$D$2:$D$91,data_балансы!$A$2:$A$91,$A22,data_балансы!$B$2:$B$91,"PSP Beta")-SUMIFS(data_балансы!$C$2:$C$91,data_балансы!$A$2:$A$91,$A22,data_балансы!$B$2:$B$91,"PSP Beta")</f>
        <v>5718.28000000119</v>
      </c>
      <c r="D22" s="21" t="n">
        <f aca="false">SUMIFS(data_балансы!$D$2:$D$91,data_балансы!$A$2:$A$91,$A22,data_балансы!$B$2:$B$91,"PSP Gamma")-SUMIFS(data_балансы!$C$2:$C$91,data_балансы!$A$2:$A$91,$A22,data_балансы!$B$2:$B$91,"PSP Gamma")</f>
        <v>-7310.46999999974</v>
      </c>
    </row>
    <row r="23" customFormat="false" ht="15" hidden="false" customHeight="false" outlineLevel="0" collapsed="false">
      <c r="A23" s="18" t="n">
        <v>46282</v>
      </c>
      <c r="B23" s="21" t="n">
        <f aca="false">SUMIFS(data_балансы!$D$2:$D$91,data_балансы!$A$2:$A$91,$A23,data_балансы!$B$2:$B$91,"PSP Alfa")-SUMIFS(data_балансы!$C$2:$C$91,data_балансы!$A$2:$A$91,$A23,data_балансы!$B$2:$B$91,"PSP Alfa")</f>
        <v>5320.41999999993</v>
      </c>
      <c r="C23" s="21" t="n">
        <f aca="false">SUMIFS(data_балансы!$D$2:$D$91,data_балансы!$A$2:$A$91,$A23,data_балансы!$B$2:$B$91,"PSP Beta")-SUMIFS(data_балансы!$C$2:$C$91,data_балансы!$A$2:$A$91,$A23,data_балансы!$B$2:$B$91,"PSP Beta")</f>
        <v>-275.359999999404</v>
      </c>
      <c r="D23" s="21" t="n">
        <f aca="false">SUMIFS(data_балансы!$D$2:$D$91,data_балансы!$A$2:$A$91,$A23,data_балансы!$B$2:$B$91,"PSP Gamma")-SUMIFS(data_балансы!$C$2:$C$91,data_балансы!$A$2:$A$91,$A23,data_балансы!$B$2:$B$91,"PSP Gamma")</f>
        <v>-22229.3899999997</v>
      </c>
    </row>
    <row r="24" customFormat="false" ht="15" hidden="false" customHeight="false" outlineLevel="0" collapsed="false">
      <c r="A24" s="18" t="n">
        <v>46283</v>
      </c>
      <c r="B24" s="21" t="n">
        <f aca="false">SUMIFS(data_балансы!$D$2:$D$91,data_балансы!$A$2:$A$91,$A24,data_балансы!$B$2:$B$91,"PSP Alfa")-SUMIFS(data_балансы!$C$2:$C$91,data_балансы!$A$2:$A$91,$A24,data_балансы!$B$2:$B$91,"PSP Alfa")</f>
        <v>-3100.36000000034</v>
      </c>
      <c r="C24" s="21" t="n">
        <f aca="false">SUMIFS(data_балансы!$D$2:$D$91,data_балансы!$A$2:$A$91,$A24,data_балансы!$B$2:$B$91,"PSP Beta")-SUMIFS(data_балансы!$C$2:$C$91,data_балансы!$A$2:$A$91,$A24,data_балансы!$B$2:$B$91,"PSP Beta")</f>
        <v>-12208.4000000004</v>
      </c>
      <c r="D24" s="21" t="n">
        <f aca="false">SUMIFS(data_балансы!$D$2:$D$91,data_балансы!$A$2:$A$91,$A24,data_балансы!$B$2:$B$91,"PSP Gamma")-SUMIFS(data_балансы!$C$2:$C$91,data_балансы!$A$2:$A$91,$A24,data_балансы!$B$2:$B$91,"PSP Gamma")</f>
        <v>-18984.5700000012</v>
      </c>
    </row>
    <row r="25" customFormat="false" ht="15" hidden="false" customHeight="false" outlineLevel="0" collapsed="false">
      <c r="A25" s="18" t="n">
        <v>46284</v>
      </c>
      <c r="B25" s="21" t="n">
        <f aca="false">SUMIFS(data_балансы!$D$2:$D$91,data_балансы!$A$2:$A$91,$A25,data_балансы!$B$2:$B$91,"PSP Alfa")-SUMIFS(data_балансы!$C$2:$C$91,data_балансы!$A$2:$A$91,$A25,data_балансы!$B$2:$B$91,"PSP Alfa")</f>
        <v>-12720.0999999996</v>
      </c>
      <c r="C25" s="21" t="n">
        <f aca="false">SUMIFS(data_балансы!$D$2:$D$91,data_балансы!$A$2:$A$91,$A25,data_балансы!$B$2:$B$91,"PSP Beta")-SUMIFS(data_балансы!$C$2:$C$91,data_балансы!$A$2:$A$91,$A25,data_балансы!$B$2:$B$91,"PSP Beta")</f>
        <v>5753.61999999918</v>
      </c>
      <c r="D25" s="21" t="n">
        <f aca="false">SUMIFS(data_балансы!$D$2:$D$91,data_балансы!$A$2:$A$91,$A25,data_балансы!$B$2:$B$91,"PSP Gamma")-SUMIFS(data_балансы!$C$2:$C$91,data_балансы!$A$2:$A$91,$A25,data_балансы!$B$2:$B$91,"PSP Gamma")</f>
        <v>-10195</v>
      </c>
    </row>
    <row r="26" customFormat="false" ht="15" hidden="false" customHeight="false" outlineLevel="0" collapsed="false">
      <c r="A26" s="18" t="n">
        <v>46285</v>
      </c>
      <c r="B26" s="21" t="n">
        <f aca="false">SUMIFS(data_балансы!$D$2:$D$91,data_балансы!$A$2:$A$91,$A26,data_балансы!$B$2:$B$91,"PSP Alfa")-SUMIFS(data_балансы!$C$2:$C$91,data_балансы!$A$2:$A$91,$A26,data_балансы!$B$2:$B$91,"PSP Alfa")</f>
        <v>3817.27999999933</v>
      </c>
      <c r="C26" s="21" t="n">
        <f aca="false">SUMIFS(data_балансы!$D$2:$D$91,data_балансы!$A$2:$A$91,$A26,data_балансы!$B$2:$B$91,"PSP Beta")-SUMIFS(data_балансы!$C$2:$C$91,data_балансы!$A$2:$A$91,$A26,data_балансы!$B$2:$B$91,"PSP Beta")</f>
        <v>2446.66999999993</v>
      </c>
      <c r="D26" s="21" t="n">
        <f aca="false">SUMIFS(data_балансы!$D$2:$D$91,data_балансы!$A$2:$A$91,$A26,data_балансы!$B$2:$B$91,"PSP Gamma")-SUMIFS(data_балансы!$C$2:$C$91,data_балансы!$A$2:$A$91,$A26,data_балансы!$B$2:$B$91,"PSP Gamma")</f>
        <v>-30338.5899999999</v>
      </c>
    </row>
    <row r="27" customFormat="false" ht="15" hidden="false" customHeight="false" outlineLevel="0" collapsed="false">
      <c r="A27" s="18" t="n">
        <v>46286</v>
      </c>
      <c r="B27" s="21" t="n">
        <f aca="false">SUMIFS(data_балансы!$D$2:$D$91,data_балансы!$A$2:$A$91,$A27,data_балансы!$B$2:$B$91,"PSP Alfa")-SUMIFS(data_балансы!$C$2:$C$91,data_балансы!$A$2:$A$91,$A27,data_балансы!$B$2:$B$91,"PSP Alfa")</f>
        <v>8174.4299999997</v>
      </c>
      <c r="C27" s="21" t="n">
        <f aca="false">SUMIFS(data_балансы!$D$2:$D$91,data_балансы!$A$2:$A$91,$A27,data_балансы!$B$2:$B$91,"PSP Beta")-SUMIFS(data_балансы!$C$2:$C$91,data_балансы!$A$2:$A$91,$A27,data_балансы!$B$2:$B$91,"PSP Beta")</f>
        <v>927.660000000149</v>
      </c>
      <c r="D27" s="21" t="n">
        <f aca="false">SUMIFS(data_балансы!$D$2:$D$91,data_балансы!$A$2:$A$91,$A27,data_балансы!$B$2:$B$91,"PSP Gamma")-SUMIFS(data_балансы!$C$2:$C$91,data_балансы!$A$2:$A$91,$A27,data_балансы!$B$2:$B$91,"PSP Gamma")</f>
        <v>-24711.0700000003</v>
      </c>
    </row>
    <row r="28" customFormat="false" ht="15" hidden="false" customHeight="false" outlineLevel="0" collapsed="false">
      <c r="A28" s="18" t="n">
        <v>46287</v>
      </c>
      <c r="B28" s="21" t="n">
        <f aca="false">SUMIFS(data_балансы!$D$2:$D$91,data_балансы!$A$2:$A$91,$A28,data_балансы!$B$2:$B$91,"PSP Alfa")-SUMIFS(data_балансы!$C$2:$C$91,data_балансы!$A$2:$A$91,$A28,data_балансы!$B$2:$B$91,"PSP Alfa")</f>
        <v>3012.34000000171</v>
      </c>
      <c r="C28" s="21" t="n">
        <f aca="false">SUMIFS(data_балансы!$D$2:$D$91,data_балансы!$A$2:$A$91,$A28,data_балансы!$B$2:$B$91,"PSP Beta")-SUMIFS(data_балансы!$C$2:$C$91,data_балансы!$A$2:$A$91,$A28,data_балансы!$B$2:$B$91,"PSP Beta")</f>
        <v>7378.06000000052</v>
      </c>
      <c r="D28" s="21" t="n">
        <f aca="false">SUMIFS(data_балансы!$D$2:$D$91,data_балансы!$A$2:$A$91,$A28,data_балансы!$B$2:$B$91,"PSP Gamma")-SUMIFS(data_балансы!$C$2:$C$91,data_балансы!$A$2:$A$91,$A28,data_балансы!$B$2:$B$91,"PSP Gamma")</f>
        <v>-18072.3000000007</v>
      </c>
    </row>
    <row r="29" customFormat="false" ht="15" hidden="false" customHeight="false" outlineLevel="0" collapsed="false">
      <c r="A29" s="18" t="n">
        <v>46288</v>
      </c>
      <c r="B29" s="21" t="n">
        <f aca="false">SUMIFS(data_балансы!$D$2:$D$91,data_балансы!$A$2:$A$91,$A29,data_балансы!$B$2:$B$91,"PSP Alfa")-SUMIFS(data_балансы!$C$2:$C$91,data_балансы!$A$2:$A$91,$A29,data_балансы!$B$2:$B$91,"PSP Alfa")</f>
        <v>14515.3299999982</v>
      </c>
      <c r="C29" s="21" t="n">
        <f aca="false">SUMIFS(data_балансы!$D$2:$D$91,data_балансы!$A$2:$A$91,$A29,data_балансы!$B$2:$B$91,"PSP Beta")-SUMIFS(data_балансы!$C$2:$C$91,data_балансы!$A$2:$A$91,$A29,data_балансы!$B$2:$B$91,"PSP Beta")</f>
        <v>6085.65000000037</v>
      </c>
      <c r="D29" s="21" t="n">
        <f aca="false">SUMIFS(data_балансы!$D$2:$D$91,data_балансы!$A$2:$A$91,$A29,data_балансы!$B$2:$B$91,"PSP Gamma")-SUMIFS(data_балансы!$C$2:$C$91,data_балансы!$A$2:$A$91,$A29,data_балансы!$B$2:$B$91,"PSP Gamma")</f>
        <v>-43669.25</v>
      </c>
    </row>
    <row r="30" customFormat="false" ht="15" hidden="false" customHeight="false" outlineLevel="0" collapsed="false">
      <c r="A30" s="18" t="n">
        <v>46289</v>
      </c>
      <c r="B30" s="21" t="n">
        <f aca="false">SUMIFS(data_балансы!$D$2:$D$91,data_балансы!$A$2:$A$91,$A30,data_балансы!$B$2:$B$91,"PSP Alfa")-SUMIFS(data_балансы!$C$2:$C$91,data_балансы!$A$2:$A$91,$A30,data_балансы!$B$2:$B$91,"PSP Alfa")</f>
        <v>-4583.87999999896</v>
      </c>
      <c r="C30" s="21" t="n">
        <f aca="false">SUMIFS(data_балансы!$D$2:$D$91,data_балансы!$A$2:$A$91,$A30,data_балансы!$B$2:$B$91,"PSP Beta")-SUMIFS(data_балансы!$C$2:$C$91,data_балансы!$A$2:$A$91,$A30,data_балансы!$B$2:$B$91,"PSP Beta")</f>
        <v>-7457.8900000006</v>
      </c>
      <c r="D30" s="21" t="n">
        <f aca="false">SUMIFS(data_балансы!$D$2:$D$91,data_балансы!$A$2:$A$91,$A30,data_балансы!$B$2:$B$91,"PSP Gamma")-SUMIFS(data_балансы!$C$2:$C$91,data_балансы!$A$2:$A$91,$A30,data_балансы!$B$2:$B$91,"PSP Gamma")</f>
        <v>-48788.2899999991</v>
      </c>
    </row>
    <row r="31" customFormat="false" ht="15" hidden="false" customHeight="false" outlineLevel="0" collapsed="false">
      <c r="A31" s="18" t="n">
        <v>46290</v>
      </c>
      <c r="B31" s="21" t="n">
        <f aca="false">SUMIFS(data_балансы!$D$2:$D$91,data_балансы!$A$2:$A$91,$A31,data_балансы!$B$2:$B$91,"PSP Alfa")-SUMIFS(data_балансы!$C$2:$C$91,data_балансы!$A$2:$A$91,$A31,data_балансы!$B$2:$B$91,"PSP Alfa")</f>
        <v>-3882.87000000104</v>
      </c>
      <c r="C31" s="21" t="n">
        <f aca="false">SUMIFS(data_балансы!$D$2:$D$91,data_балансы!$A$2:$A$91,$A31,data_балансы!$B$2:$B$91,"PSP Beta")-SUMIFS(data_балансы!$C$2:$C$91,data_балансы!$A$2:$A$91,$A31,data_балансы!$B$2:$B$91,"PSP Beta")</f>
        <v>-9222.47000000067</v>
      </c>
      <c r="D31" s="21" t="n">
        <f aca="false">SUMIFS(data_балансы!$D$2:$D$91,data_балансы!$A$2:$A$91,$A31,data_балансы!$B$2:$B$91,"PSP Gamma")-SUMIFS(data_балансы!$C$2:$C$91,data_балансы!$A$2:$A$91,$A31,data_балансы!$B$2:$B$91,"PSP Gamma")</f>
        <v>-54748.0500000007</v>
      </c>
    </row>
    <row r="32" customFormat="false" ht="15" hidden="false" customHeight="false" outlineLevel="0" collapsed="false">
      <c r="A32" s="18" t="n">
        <v>46291</v>
      </c>
      <c r="B32" s="21" t="n">
        <f aca="false">SUMIFS(data_балансы!$D$2:$D$91,data_балансы!$A$2:$A$91,$A32,data_балансы!$B$2:$B$91,"PSP Alfa")-SUMIFS(data_балансы!$C$2:$C$91,data_балансы!$A$2:$A$91,$A32,data_балансы!$B$2:$B$91,"PSP Alfa")</f>
        <v>-4763.0700000003</v>
      </c>
      <c r="C32" s="21" t="n">
        <f aca="false">SUMIFS(data_балансы!$D$2:$D$91,data_балансы!$A$2:$A$91,$A32,data_балансы!$B$2:$B$91,"PSP Beta")-SUMIFS(data_балансы!$C$2:$C$91,data_балансы!$A$2:$A$91,$A32,data_балансы!$B$2:$B$91,"PSP Beta")</f>
        <v>1075.90999999829</v>
      </c>
      <c r="D32" s="21" t="n">
        <f aca="false">SUMIFS(data_балансы!$D$2:$D$91,data_балансы!$A$2:$A$91,$A32,data_балансы!$B$2:$B$91,"PSP Gamma")-SUMIFS(data_балансы!$C$2:$C$91,data_балансы!$A$2:$A$91,$A32,data_балансы!$B$2:$B$91,"PSP Gamma")</f>
        <v>-46984.8899999987</v>
      </c>
    </row>
    <row r="33" customFormat="false" ht="15" hidden="false" customHeight="false" outlineLevel="0" collapsed="false">
      <c r="A33" s="18" t="n">
        <v>46292</v>
      </c>
      <c r="B33" s="21" t="n">
        <f aca="false">SUMIFS(data_балансы!$D$2:$D$91,data_балансы!$A$2:$A$91,$A33,data_балансы!$B$2:$B$91,"PSP Alfa")-SUMIFS(data_балансы!$C$2:$C$91,data_балансы!$A$2:$A$91,$A33,data_балансы!$B$2:$B$91,"PSP Alfa")</f>
        <v>9669.9299999997</v>
      </c>
      <c r="C33" s="21" t="n">
        <f aca="false">SUMIFS(data_балансы!$D$2:$D$91,data_балансы!$A$2:$A$91,$A33,data_балансы!$B$2:$B$91,"PSP Beta")-SUMIFS(data_балансы!$C$2:$C$91,data_балансы!$A$2:$A$91,$A33,data_балансы!$B$2:$B$91,"PSP Beta")</f>
        <v>-9445.50999999978</v>
      </c>
      <c r="D33" s="21" t="n">
        <f aca="false">SUMIFS(data_балансы!$D$2:$D$91,data_балансы!$A$2:$A$91,$A33,data_балансы!$B$2:$B$91,"PSP Gamma")-SUMIFS(data_балансы!$C$2:$C$91,data_балансы!$A$2:$A$91,$A33,data_балансы!$B$2:$B$91,"PSP Gamma")</f>
        <v>-55262.2199999988</v>
      </c>
    </row>
    <row r="34" customFormat="false" ht="15" hidden="false" customHeight="false" outlineLevel="0" collapsed="false">
      <c r="A34" s="18" t="n">
        <v>46293</v>
      </c>
      <c r="B34" s="21" t="n">
        <f aca="false">SUMIFS(data_балансы!$D$2:$D$91,data_балансы!$A$2:$A$91,$A34,data_балансы!$B$2:$B$91,"PSP Alfa")-SUMIFS(data_балансы!$C$2:$C$91,data_балансы!$A$2:$A$91,$A34,data_балансы!$B$2:$B$91,"PSP Alfa")</f>
        <v>13823.629999999</v>
      </c>
      <c r="C34" s="21" t="n">
        <f aca="false">SUMIFS(data_балансы!$D$2:$D$91,data_балансы!$A$2:$A$91,$A34,data_балансы!$B$2:$B$91,"PSP Beta")-SUMIFS(data_балансы!$C$2:$C$91,data_балансы!$A$2:$A$91,$A34,data_балансы!$B$2:$B$91,"PSP Beta")</f>
        <v>-474.040000000969</v>
      </c>
      <c r="D34" s="21" t="n">
        <f aca="false">SUMIFS(data_балансы!$D$2:$D$91,data_балансы!$A$2:$A$91,$A34,data_балансы!$B$2:$B$91,"PSP Gamma")-SUMIFS(data_балансы!$C$2:$C$91,data_балансы!$A$2:$A$91,$A34,data_балансы!$B$2:$B$91,"PSP Gamma")</f>
        <v>-46291.3300000001</v>
      </c>
    </row>
    <row r="35" customFormat="false" ht="15" hidden="false" customHeight="false" outlineLevel="0" collapsed="false">
      <c r="A35" s="18" t="n">
        <v>46294</v>
      </c>
      <c r="B35" s="21" t="n">
        <f aca="false">SUMIFS(data_балансы!$D$2:$D$91,data_балансы!$A$2:$A$91,$A35,data_балансы!$B$2:$B$91,"PSP Alfa")-SUMIFS(data_балансы!$C$2:$C$91,data_балансы!$A$2:$A$91,$A35,data_балансы!$B$2:$B$91,"PSP Alfa")</f>
        <v>9861.21999999881</v>
      </c>
      <c r="C35" s="21" t="n">
        <f aca="false">SUMIFS(data_балансы!$D$2:$D$91,data_балансы!$A$2:$A$91,$A35,data_балансы!$B$2:$B$91,"PSP Beta")-SUMIFS(data_балансы!$C$2:$C$91,data_балансы!$A$2:$A$91,$A35,data_балансы!$B$2:$B$91,"PSP Beta")</f>
        <v>14298.209999999</v>
      </c>
      <c r="D35" s="21" t="n">
        <f aca="false">SUMIFS(data_балансы!$D$2:$D$91,data_балансы!$A$2:$A$91,$A35,data_балансы!$B$2:$B$91,"PSP Gamma")-SUMIFS(data_балансы!$C$2:$C$91,data_балансы!$A$2:$A$91,$A35,data_балансы!$B$2:$B$91,"PSP Gamma")</f>
        <v>-57379.0600000005</v>
      </c>
    </row>
    <row r="36" customFormat="false" ht="15" hidden="false" customHeight="false" outlineLevel="0" collapsed="false">
      <c r="A36" s="18" t="n">
        <v>46295</v>
      </c>
      <c r="B36" s="21" t="n">
        <f aca="false">SUMIFS(data_балансы!$D$2:$D$91,data_балансы!$A$2:$A$91,$A36,data_балансы!$B$2:$B$91,"PSP Alfa")-SUMIFS(data_балансы!$C$2:$C$91,data_балансы!$A$2:$A$91,$A36,data_балансы!$B$2:$B$91,"PSP Alfa")</f>
        <v>-1935.38000000082</v>
      </c>
      <c r="C36" s="21" t="n">
        <f aca="false">SUMIFS(data_балансы!$D$2:$D$91,data_балансы!$A$2:$A$91,$A36,data_балансы!$B$2:$B$91,"PSP Beta")-SUMIFS(data_балансы!$C$2:$C$91,data_балансы!$A$2:$A$91,$A36,data_балансы!$B$2:$B$91,"PSP Beta")</f>
        <v>-6510.03999999911</v>
      </c>
      <c r="D36" s="21" t="n">
        <f aca="false">SUMIFS(data_балансы!$D$2:$D$91,data_балансы!$A$2:$A$91,$A36,data_балансы!$B$2:$B$91,"PSP Gamma")-SUMIFS(data_балансы!$C$2:$C$91,data_балансы!$A$2:$A$91,$A36,data_балансы!$B$2:$B$91,"PSP Gamma")</f>
        <v>-46782.6699999999</v>
      </c>
    </row>
  </sheetData>
  <conditionalFormatting sqref="B7:D36">
    <cfRule type="expression" priority="2" aboveAverage="0" equalAverage="0" bottom="0" percent="0" rank="0" text="" dxfId="0">
      <formula>ABS(B7)&gt;$B$4</formula>
    </cfRule>
  </conditionalFormatting>
  <conditionalFormatting sqref="G15:I15">
    <cfRule type="cellIs" priority="3" operator="equal" aboveAverage="0" equalAverage="0" bottom="0" percent="0" rank="0" text="" dxfId="0">
      <formula>"Проверить"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6" min="4" style="0" width="15"/>
    <col collapsed="false" customWidth="true" hidden="false" outlineLevel="0" max="7" min="7" style="0" width="3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19.7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2" t="s">
        <v>51</v>
      </c>
      <c r="B4" s="3" t="s">
        <v>3</v>
      </c>
    </row>
    <row r="5" customFormat="false" ht="15" hidden="false" customHeight="false" outlineLevel="0" collapsed="false">
      <c r="A5" s="2" t="s">
        <v>52</v>
      </c>
      <c r="B5" s="3" t="s">
        <v>3</v>
      </c>
    </row>
    <row r="6" customFormat="false" ht="15" hidden="false" customHeight="false" outlineLevel="0" collapsed="false">
      <c r="A6" s="2" t="s">
        <v>53</v>
      </c>
      <c r="B6" s="3" t="s">
        <v>3</v>
      </c>
    </row>
    <row r="8" customFormat="false" ht="15" hidden="false" customHeight="false" outlineLevel="0" collapsed="false">
      <c r="A8" s="5" t="s">
        <v>54</v>
      </c>
      <c r="B8" s="5" t="s">
        <v>5</v>
      </c>
      <c r="C8" s="5" t="s">
        <v>55</v>
      </c>
      <c r="D8" s="5" t="s">
        <v>56</v>
      </c>
      <c r="E8" s="5" t="s">
        <v>57</v>
      </c>
    </row>
    <row r="9" customFormat="false" ht="22.05" hidden="false" customHeight="false" outlineLevel="0" collapsed="false">
      <c r="A9" s="8" t="n">
        <f aca="false">SUMIFS(data_платежи!$H$2:$H$73,data_платежи!$B$2:$B$73,IF($B$4="Все","*",$B$4),data_платежи!$C$2:$C$73,IF($B$5="Все","*",$B$5),data_платежи!$D$2:$D$73,IF($B$6="Все","*",$B$6))</f>
        <v>124125668.72</v>
      </c>
      <c r="B9" s="6" t="n">
        <f aca="false">SUMIFS(data_платежи!$E$2:$E$73,data_платежи!$B$2:$B$73,IF($B$4="Все","*",$B$4),data_платежи!$C$2:$C$73,IF($B$5="Все","*",$B$5),data_платежи!$D$2:$D$73,IF($B$6="Все","*",$B$6))</f>
        <v>25223</v>
      </c>
      <c r="C9" s="23" t="n">
        <f aca="false">IFERROR(SUMIFS(data_платежи!$F$2:$F$73,data_платежи!$B$2:$B$73,IF($B$4="Все","*",$B$4),data_платежи!$C$2:$C$73,IF($B$5="Все","*",$B$5),data_платежи!$D$2:$D$73,IF($B$6="Все","*",$B$6))/B9,0)</f>
        <v>0.880109423938469</v>
      </c>
      <c r="D9" s="8" t="n">
        <f aca="false">SUMIFS(data_платежи!$I$2:$I$73,data_платежи!$B$2:$B$73,IF($B$4="Все","*",$B$4),data_платежи!$C$2:$C$73,IF($B$5="Все","*",$B$5),data_платежи!$D$2:$D$73,IF($B$6="Все","*",$B$6))</f>
        <v>2753884.08</v>
      </c>
      <c r="E9" s="7" t="n">
        <f aca="false">IFERROR(D9/A9,0)</f>
        <v>0.0221862577531175</v>
      </c>
    </row>
    <row r="12" customFormat="false" ht="15" hidden="false" customHeight="false" outlineLevel="0" collapsed="false">
      <c r="A12" s="9" t="s">
        <v>58</v>
      </c>
    </row>
    <row r="13" customFormat="false" ht="23.85" hidden="false" customHeight="false" outlineLevel="0" collapsed="false">
      <c r="A13" s="10" t="s">
        <v>11</v>
      </c>
      <c r="B13" s="11" t="s">
        <v>55</v>
      </c>
      <c r="C13" s="11" t="s">
        <v>59</v>
      </c>
      <c r="D13" s="11" t="s">
        <v>60</v>
      </c>
      <c r="E13" s="11" t="s">
        <v>57</v>
      </c>
      <c r="F13" s="11" t="s">
        <v>61</v>
      </c>
    </row>
    <row r="14" customFormat="false" ht="15" hidden="false" customHeight="false" outlineLevel="0" collapsed="false">
      <c r="A14" s="12" t="s">
        <v>13</v>
      </c>
      <c r="B14" s="19" t="n">
        <f aca="false">IFERROR(SUMIFS(data_платежи!$F$2:$F$73,data_платежи!$B$2:$B$73,$A14,data_платежи!$C$2:$C$73,IF($B$5="Все","*",$B$5),data_платежи!$D$2:$D$73,IF($B$6="Все","*",$B$6))/SUMIFS(data_платежи!$E$2:$E$73,data_платежи!$B$2:$B$73,$A14,data_платежи!$C$2:$C$73,IF($B$5="Все","*",$B$5),data_платежи!$D$2:$D$73,IF($B$6="Все","*",$B$6)),0)</f>
        <v>0.919451170298628</v>
      </c>
      <c r="C14" s="21" t="n">
        <f aca="false">SUMIFS(data_платежи!$H$2:$H$73,data_платежи!$B$2:$B$73,$A14,data_платежи!$C$2:$C$73,IF($B$5="Все","*",$B$5),data_платежи!$D$2:$D$73,IF($B$6="Все","*",$B$6))</f>
        <v>63081038.11</v>
      </c>
      <c r="D14" s="21" t="n">
        <f aca="false">SUMIFS(data_платежи!$I$2:$I$73,data_платежи!$B$2:$B$73,$A14,data_платежи!$C$2:$C$73,IF($B$5="Все","*",$B$5),data_платежи!$D$2:$D$73,IF($B$6="Все","*",$B$6))</f>
        <v>1178920.46</v>
      </c>
      <c r="E14" s="14" t="n">
        <f aca="false">IFERROR(D14/C14,0)</f>
        <v>0.018688983176596</v>
      </c>
      <c r="F14" s="13" t="n">
        <f aca="false">SUMIFS(data_платежи!$G$2:$G$73,data_платежи!$B$2:$B$73,$A14,data_платежи!$C$2:$C$73,IF($B$5="Все","*",$B$5),data_платежи!$D$2:$D$73,IF($B$6="Все","*",$B$6))</f>
        <v>998</v>
      </c>
    </row>
    <row r="15" customFormat="false" ht="15" hidden="false" customHeight="false" outlineLevel="0" collapsed="false">
      <c r="A15" s="15" t="s">
        <v>14</v>
      </c>
      <c r="B15" s="19" t="n">
        <f aca="false">IFERROR(SUMIFS(data_платежи!$F$2:$F$73,data_платежи!$B$2:$B$73,$A15,data_платежи!$C$2:$C$73,IF($B$5="Все","*",$B$5),data_платежи!$D$2:$D$73,IF($B$6="Все","*",$B$6))/SUMIFS(data_платежи!$E$2:$E$73,data_платежи!$B$2:$B$73,$A15,data_платежи!$C$2:$C$73,IF($B$5="Все","*",$B$5),data_платежи!$D$2:$D$73,IF($B$6="Все","*",$B$6)),0)</f>
        <v>0.865431795878312</v>
      </c>
      <c r="C15" s="21" t="n">
        <f aca="false">SUMIFS(data_платежи!$H$2:$H$73,data_платежи!$B$2:$B$73,$A15,data_платежи!$C$2:$C$73,IF($B$5="Все","*",$B$5),data_платежи!$D$2:$D$73,IF($B$6="Все","*",$B$6))</f>
        <v>39027381.09</v>
      </c>
      <c r="D15" s="21" t="n">
        <f aca="false">SUMIFS(data_платежи!$I$2:$I$73,data_платежи!$B$2:$B$73,$A15,data_платежи!$C$2:$C$73,IF($B$5="Все","*",$B$5),data_платежи!$D$2:$D$73,IF($B$6="Все","*",$B$6))</f>
        <v>915707.74</v>
      </c>
      <c r="E15" s="14" t="n">
        <f aca="false">IFERROR(D15/C15,0)</f>
        <v>0.0234632126067673</v>
      </c>
      <c r="F15" s="13" t="n">
        <f aca="false">SUMIFS(data_платежи!$G$2:$G$73,data_платежи!$B$2:$B$73,$A15,data_платежи!$C$2:$C$73,IF($B$5="Все","*",$B$5),data_платежи!$D$2:$D$73,IF($B$6="Все","*",$B$6))</f>
        <v>1097</v>
      </c>
    </row>
    <row r="16" customFormat="false" ht="15" hidden="false" customHeight="false" outlineLevel="0" collapsed="false">
      <c r="A16" s="16" t="s">
        <v>15</v>
      </c>
      <c r="B16" s="19" t="n">
        <f aca="false">IFERROR(SUMIFS(data_платежи!$F$2:$F$73,data_платежи!$B$2:$B$73,$A16,data_платежи!$C$2:$C$73,IF($B$5="Все","*",$B$5),data_платежи!$D$2:$D$73,IF($B$6="Все","*",$B$6))/SUMIFS(data_платежи!$E$2:$E$73,data_платежи!$B$2:$B$73,$A16,data_платежи!$C$2:$C$73,IF($B$5="Все","*",$B$5),data_платежи!$D$2:$D$73,IF($B$6="Все","*",$B$6)),0)</f>
        <v>0.80153813287759</v>
      </c>
      <c r="C16" s="21" t="n">
        <f aca="false">SUMIFS(data_платежи!$H$2:$H$73,data_платежи!$B$2:$B$73,$A16,data_платежи!$C$2:$C$73,IF($B$5="Все","*",$B$5),data_платежи!$D$2:$D$73,IF($B$6="Все","*",$B$6))</f>
        <v>22017249.52</v>
      </c>
      <c r="D16" s="21" t="n">
        <f aca="false">SUMIFS(data_платежи!$I$2:$I$73,data_платежи!$B$2:$B$73,$A16,data_платежи!$C$2:$C$73,IF($B$5="Все","*",$B$5),data_платежи!$D$2:$D$73,IF($B$6="Все","*",$B$6))</f>
        <v>659255.88</v>
      </c>
      <c r="E16" s="14" t="n">
        <f aca="false">IFERROR(D16/C16,0)</f>
        <v>0.0299426992186806</v>
      </c>
      <c r="F16" s="13" t="n">
        <f aca="false">SUMIFS(data_платежи!$G$2:$G$73,data_платежи!$B$2:$B$73,$A16,data_платежи!$C$2:$C$73,IF($B$5="Все","*",$B$5),data_платежи!$D$2:$D$73,IF($B$6="Все","*",$B$6))</f>
        <v>929</v>
      </c>
    </row>
    <row r="19" customFormat="false" ht="15" hidden="false" customHeight="false" outlineLevel="0" collapsed="false">
      <c r="A19" s="9" t="s">
        <v>62</v>
      </c>
    </row>
    <row r="20" customFormat="false" ht="15" hidden="false" customHeight="false" outlineLevel="0" collapsed="false">
      <c r="A20" s="10" t="s">
        <v>63</v>
      </c>
      <c r="B20" s="11" t="s">
        <v>55</v>
      </c>
      <c r="C20" s="11" t="s">
        <v>59</v>
      </c>
      <c r="D20" s="11" t="s">
        <v>5</v>
      </c>
    </row>
    <row r="21" customFormat="false" ht="15" hidden="false" customHeight="false" outlineLevel="0" collapsed="false">
      <c r="A21" s="17" t="s">
        <v>64</v>
      </c>
      <c r="B21" s="19" t="n">
        <f aca="false">IFERROR(SUMIFS(data_платежи!$F$2:$F$73,data_платежи!$C$2:$C$73,$A21,data_платежи!$B$2:$B$73,IF($B$4="Все","*",$B$4),data_платежи!$D$2:$D$73,IF($B$6="Все","*",$B$6))/SUMIFS(data_платежи!$E$2:$E$73,data_платежи!$C$2:$C$73,$A21,data_платежи!$B$2:$B$73,IF($B$4="Все","*",$B$4),data_платежи!$D$2:$D$73,IF($B$6="Все","*",$B$6)),0)</f>
        <v>0.897174254317112</v>
      </c>
      <c r="C21" s="21" t="n">
        <f aca="false">SUMIFS(data_платежи!$H$2:$H$73,data_платежи!$C$2:$C$73,$A21,data_платежи!$B$2:$B$73,IF($B$4="Все","*",$B$4),data_платежи!$D$2:$D$73,IF($B$6="Все","*",$B$6))</f>
        <v>62813080.45</v>
      </c>
      <c r="D21" s="13" t="n">
        <f aca="false">SUMIFS(data_платежи!$E$2:$E$73,data_платежи!$C$2:$C$73,$A21,data_платежи!$B$2:$B$73,IF($B$4="Все","*",$B$4),data_платежи!$D$2:$D$73,IF($B$6="Все","*",$B$6))</f>
        <v>12740</v>
      </c>
    </row>
    <row r="22" customFormat="false" ht="15" hidden="false" customHeight="false" outlineLevel="0" collapsed="false">
      <c r="A22" s="17" t="s">
        <v>65</v>
      </c>
      <c r="B22" s="19" t="n">
        <f aca="false">IFERROR(SUMIFS(data_платежи!$F$2:$F$73,data_платежи!$C$2:$C$73,$A22,data_платежи!$B$2:$B$73,IF($B$4="Все","*",$B$4),data_платежи!$D$2:$D$73,IF($B$6="Все","*",$B$6))/SUMIFS(data_платежи!$E$2:$E$73,data_платежи!$C$2:$C$73,$A22,data_платежи!$B$2:$B$73,IF($B$4="Все","*",$B$4),data_платежи!$D$2:$D$73,IF($B$6="Все","*",$B$6)),0)</f>
        <v>0.889469453376206</v>
      </c>
      <c r="C22" s="21" t="n">
        <f aca="false">SUMIFS(data_платежи!$H$2:$H$73,data_платежи!$C$2:$C$73,$A22,data_платежи!$B$2:$B$73,IF($B$4="Все","*",$B$4),data_платежи!$D$2:$D$73,IF($B$6="Все","*",$B$6))</f>
        <v>25678836.9</v>
      </c>
      <c r="D22" s="13" t="n">
        <f aca="false">SUMIFS(data_платежи!$E$2:$E$73,data_платежи!$C$2:$C$73,$A22,data_платежи!$B$2:$B$73,IF($B$4="Все","*",$B$4),data_платежи!$D$2:$D$73,IF($B$6="Все","*",$B$6))</f>
        <v>4976</v>
      </c>
    </row>
    <row r="23" customFormat="false" ht="15" hidden="false" customHeight="false" outlineLevel="0" collapsed="false">
      <c r="A23" s="17" t="s">
        <v>66</v>
      </c>
      <c r="B23" s="19" t="n">
        <f aca="false">IFERROR(SUMIFS(data_платежи!$F$2:$F$73,data_платежи!$C$2:$C$73,$A23,data_платежи!$B$2:$B$73,IF($B$4="Все","*",$B$4),data_платежи!$D$2:$D$73,IF($B$6="Все","*",$B$6))/SUMIFS(data_платежи!$E$2:$E$73,data_платежи!$C$2:$C$73,$A23,data_платежи!$B$2:$B$73,IF($B$4="Все","*",$B$4),data_платежи!$D$2:$D$73,IF($B$6="Все","*",$B$6)),0)</f>
        <v>0.844944718262955</v>
      </c>
      <c r="C23" s="21" t="n">
        <f aca="false">SUMIFS(data_платежи!$H$2:$H$73,data_платежи!$C$2:$C$73,$A23,data_платежи!$B$2:$B$73,IF($B$4="Все","*",$B$4),data_платежи!$D$2:$D$73,IF($B$6="Все","*",$B$6))</f>
        <v>35633751.37</v>
      </c>
      <c r="D23" s="13" t="n">
        <f aca="false">SUMIFS(data_платежи!$E$2:$E$73,data_платежи!$C$2:$C$73,$A23,data_платежи!$B$2:$B$73,IF($B$4="Все","*",$B$4),data_платежи!$D$2:$D$73,IF($B$6="Все","*",$B$6))</f>
        <v>7507</v>
      </c>
    </row>
    <row r="26" customFormat="false" ht="15" hidden="false" customHeight="false" outlineLevel="0" collapsed="false">
      <c r="A26" s="9" t="s">
        <v>67</v>
      </c>
    </row>
    <row r="27" customFormat="false" ht="15" hidden="false" customHeight="false" outlineLevel="0" collapsed="false">
      <c r="A27" s="10" t="s">
        <v>68</v>
      </c>
      <c r="B27" s="11" t="s">
        <v>69</v>
      </c>
      <c r="C27" s="11" t="s">
        <v>70</v>
      </c>
      <c r="D27" s="11" t="s">
        <v>55</v>
      </c>
    </row>
    <row r="28" customFormat="false" ht="15" hidden="false" customHeight="false" outlineLevel="0" collapsed="false">
      <c r="A28" s="17" t="s">
        <v>71</v>
      </c>
      <c r="B28" s="21" t="n">
        <f aca="false">SUMIFS(data_платежи!$H$2:$H$73,data_платежи!$A$2:$A$73,$A28,data_платежи!$B$2:$B$73,IF($B$4="Все","*",$B$4),data_платежи!$C$2:$C$73,IF($B$5="Все","*",$B$5),data_платежи!$D$2:$D$73,"Депозит")</f>
        <v>21990961.39</v>
      </c>
      <c r="C28" s="21" t="n">
        <f aca="false">SUMIFS(data_платежи!$H$2:$H$73,data_платежи!$A$2:$A$73,$A28,data_платежи!$B$2:$B$73,IF($B$4="Все","*",$B$4),data_платежи!$C$2:$C$73,IF($B$5="Все","*",$B$5),data_платежи!$D$2:$D$73,"Вывод")</f>
        <v>10402301.91</v>
      </c>
      <c r="D28" s="19" t="n">
        <f aca="false">IFERROR(SUMIFS(data_платежи!$F$2:$F$73,data_платежи!$A$2:$A$73,$A28,data_платежи!$B$2:$B$73,IF($B$4="Все","*",$B$4),data_платежи!$C$2:$C$73,IF($B$5="Все","*",$B$5),data_платежи!$D$2:$D$73,IF($B$6="Все","*",$B$6))/SUMIFS(data_платежи!$E$2:$E$73,data_платежи!$A$2:$A$73,$A28,data_платежи!$B$2:$B$73,IF($B$4="Все","*",$B$4),data_платежи!$C$2:$C$73,IF($B$5="Все","*",$B$5),data_платежи!$D$2:$D$73,IF($B$6="Все","*",$B$6)),0)</f>
        <v>0.880669377541445</v>
      </c>
    </row>
    <row r="29" customFormat="false" ht="15" hidden="false" customHeight="false" outlineLevel="0" collapsed="false">
      <c r="A29" s="17" t="s">
        <v>72</v>
      </c>
      <c r="B29" s="21" t="n">
        <f aca="false">SUMIFS(data_платежи!$H$2:$H$73,data_платежи!$A$2:$A$73,$A29,data_платежи!$B$2:$B$73,IF($B$4="Все","*",$B$4),data_платежи!$C$2:$C$73,IF($B$5="Все","*",$B$5),data_платежи!$D$2:$D$73,"Депозит")</f>
        <v>20752683.23</v>
      </c>
      <c r="C29" s="21" t="n">
        <f aca="false">SUMIFS(data_платежи!$H$2:$H$73,data_платежи!$A$2:$A$73,$A29,data_платежи!$B$2:$B$73,IF($B$4="Все","*",$B$4),data_платежи!$C$2:$C$73,IF($B$5="Все","*",$B$5),data_платежи!$D$2:$D$73,"Вывод")</f>
        <v>10655707.47</v>
      </c>
      <c r="D29" s="19" t="n">
        <f aca="false">IFERROR(SUMIFS(data_платежи!$F$2:$F$73,data_платежи!$A$2:$A$73,$A29,data_платежи!$B$2:$B$73,IF($B$4="Все","*",$B$4),data_платежи!$C$2:$C$73,IF($B$5="Все","*",$B$5),data_платежи!$D$2:$D$73,IF($B$6="Все","*",$B$6))/SUMIFS(data_платежи!$E$2:$E$73,data_платежи!$A$2:$A$73,$A29,data_платежи!$B$2:$B$73,IF($B$4="Все","*",$B$4),data_платежи!$C$2:$C$73,IF($B$5="Все","*",$B$5),data_платежи!$D$2:$D$73,IF($B$6="Все","*",$B$6)),0)</f>
        <v>0.877492423033977</v>
      </c>
    </row>
    <row r="30" customFormat="false" ht="15" hidden="false" customHeight="false" outlineLevel="0" collapsed="false">
      <c r="A30" s="17" t="s">
        <v>73</v>
      </c>
      <c r="B30" s="21" t="n">
        <f aca="false">SUMIFS(data_платежи!$H$2:$H$73,data_платежи!$A$2:$A$73,$A30,data_платежи!$B$2:$B$73,IF($B$4="Все","*",$B$4),data_платежи!$C$2:$C$73,IF($B$5="Все","*",$B$5),data_платежи!$D$2:$D$73,"Депозит")</f>
        <v>21164999.39</v>
      </c>
      <c r="C30" s="21" t="n">
        <f aca="false">SUMIFS(data_платежи!$H$2:$H$73,data_платежи!$A$2:$A$73,$A30,data_платежи!$B$2:$B$73,IF($B$4="Все","*",$B$4),data_платежи!$C$2:$C$73,IF($B$5="Все","*",$B$5),data_платежи!$D$2:$D$73,"Вывод")</f>
        <v>10485699.79</v>
      </c>
      <c r="D30" s="19" t="n">
        <f aca="false">IFERROR(SUMIFS(data_платежи!$F$2:$F$73,data_платежи!$A$2:$A$73,$A30,data_платежи!$B$2:$B$73,IF($B$4="Все","*",$B$4),data_платежи!$C$2:$C$73,IF($B$5="Все","*",$B$5),data_платежи!$D$2:$D$73,IF($B$6="Все","*",$B$6))/SUMIFS(data_платежи!$E$2:$E$73,data_платежи!$A$2:$A$73,$A30,data_платежи!$B$2:$B$73,IF($B$4="Все","*",$B$4),data_платежи!$C$2:$C$73,IF($B$5="Все","*",$B$5),data_платежи!$D$2:$D$73,IF($B$6="Все","*",$B$6)),0)</f>
        <v>0.882456140350877</v>
      </c>
    </row>
    <row r="31" customFormat="false" ht="15" hidden="false" customHeight="false" outlineLevel="0" collapsed="false">
      <c r="A31" s="17" t="s">
        <v>74</v>
      </c>
      <c r="B31" s="21" t="n">
        <f aca="false">SUMIFS(data_платежи!$H$2:$H$73,data_платежи!$A$2:$A$73,$A31,data_платежи!$B$2:$B$73,IF($B$4="Все","*",$B$4),data_платежи!$C$2:$C$73,IF($B$5="Все","*",$B$5),data_платежи!$D$2:$D$73,"Депозит")</f>
        <v>18287681.62</v>
      </c>
      <c r="C31" s="21" t="n">
        <f aca="false">SUMIFS(data_платежи!$H$2:$H$73,data_платежи!$A$2:$A$73,$A31,data_платежи!$B$2:$B$73,IF($B$4="Все","*",$B$4),data_платежи!$C$2:$C$73,IF($B$5="Все","*",$B$5),data_платежи!$D$2:$D$73,"Вывод")</f>
        <v>10385633.92</v>
      </c>
      <c r="D31" s="19" t="n">
        <f aca="false">IFERROR(SUMIFS(data_платежи!$F$2:$F$73,data_платежи!$A$2:$A$73,$A31,data_платежи!$B$2:$B$73,IF($B$4="Все","*",$B$4),data_платежи!$C$2:$C$73,IF($B$5="Все","*",$B$5),data_платежи!$D$2:$D$73,IF($B$6="Все","*",$B$6))/SUMIFS(data_платежи!$E$2:$E$73,data_платежи!$A$2:$A$73,$A31,data_платежи!$B$2:$B$73,IF($B$4="Все","*",$B$4),data_платежи!$C$2:$C$73,IF($B$5="Все","*",$B$5),data_платежи!$D$2:$D$73,IF($B$6="Все","*",$B$6)),0)</f>
        <v>0.879809220985692</v>
      </c>
    </row>
    <row r="34" customFormat="false" ht="15" hidden="false" customHeight="false" outlineLevel="0" collapsed="false">
      <c r="A34" s="2" t="s">
        <v>75</v>
      </c>
    </row>
  </sheetData>
  <conditionalFormatting sqref="E14:E16">
    <cfRule type="expression" priority="2" aboveAverage="0" equalAverage="0" bottom="0" percent="0" rank="0" text="" dxfId="0">
      <formula>E14=MAX($E$14:$E$16)</formula>
    </cfRule>
  </conditionalFormatting>
  <dataValidations count="3">
    <dataValidation allowBlank="false" errorStyle="stop" operator="between" showDropDown="false" showErrorMessage="false" showInputMessage="false" sqref="B4" type="list">
      <formula1>"Все,PSP Alfa,PSP Beta,PSP Gamma"</formula1>
      <formula2>0</formula2>
    </dataValidation>
    <dataValidation allowBlank="false" errorStyle="stop" operator="between" showDropDown="false" showErrorMessage="false" showInputMessage="false" sqref="B5" type="list">
      <formula1>"Все,Москва,Санкт-Петербург,Другие регионы"</formula1>
      <formula2>0</formula2>
    </dataValidation>
    <dataValidation allowBlank="false" errorStyle="stop" operator="between" showDropDown="false" showErrorMessage="false" showInputMessage="false" sqref="B6" type="list">
      <formula1>"Все,Депозит,Вывод"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5CE"/>
    <pageSetUpPr fitToPage="false"/>
  </sheetPr>
  <dimension ref="A1:D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</cols>
  <sheetData>
    <row r="1" customFormat="false" ht="15" hidden="false" customHeight="false" outlineLevel="0" collapsed="false">
      <c r="A1" s="24" t="s">
        <v>20</v>
      </c>
      <c r="B1" s="24" t="s">
        <v>11</v>
      </c>
      <c r="C1" s="24" t="s">
        <v>5</v>
      </c>
      <c r="D1" s="24" t="s">
        <v>6</v>
      </c>
    </row>
    <row r="2" customFormat="false" ht="15" hidden="false" customHeight="false" outlineLevel="0" collapsed="false">
      <c r="A2" s="25" t="n">
        <v>46266</v>
      </c>
      <c r="B2" s="26" t="s">
        <v>13</v>
      </c>
      <c r="C2" s="0" t="n">
        <v>193</v>
      </c>
      <c r="D2" s="0" t="n">
        <v>0</v>
      </c>
    </row>
    <row r="3" customFormat="false" ht="15" hidden="false" customHeight="false" outlineLevel="0" collapsed="false">
      <c r="A3" s="25" t="n">
        <v>46266</v>
      </c>
      <c r="B3" s="26" t="s">
        <v>14</v>
      </c>
      <c r="C3" s="0" t="n">
        <v>113</v>
      </c>
      <c r="D3" s="0" t="n">
        <v>0</v>
      </c>
    </row>
    <row r="4" customFormat="false" ht="15" hidden="false" customHeight="false" outlineLevel="0" collapsed="false">
      <c r="A4" s="25" t="n">
        <v>46266</v>
      </c>
      <c r="B4" s="26" t="s">
        <v>15</v>
      </c>
      <c r="C4" s="0" t="n">
        <v>77</v>
      </c>
      <c r="D4" s="0" t="n">
        <v>1</v>
      </c>
    </row>
    <row r="5" customFormat="false" ht="15" hidden="false" customHeight="false" outlineLevel="0" collapsed="false">
      <c r="A5" s="25" t="n">
        <v>46267</v>
      </c>
      <c r="B5" s="26" t="s">
        <v>13</v>
      </c>
      <c r="C5" s="0" t="n">
        <v>154</v>
      </c>
      <c r="D5" s="0" t="n">
        <v>0</v>
      </c>
    </row>
    <row r="6" customFormat="false" ht="15" hidden="false" customHeight="false" outlineLevel="0" collapsed="false">
      <c r="A6" s="25" t="n">
        <v>46267</v>
      </c>
      <c r="B6" s="26" t="s">
        <v>14</v>
      </c>
      <c r="C6" s="0" t="n">
        <v>129</v>
      </c>
      <c r="D6" s="0" t="n">
        <v>0</v>
      </c>
    </row>
    <row r="7" customFormat="false" ht="15" hidden="false" customHeight="false" outlineLevel="0" collapsed="false">
      <c r="A7" s="25" t="n">
        <v>46267</v>
      </c>
      <c r="B7" s="26" t="s">
        <v>15</v>
      </c>
      <c r="C7" s="0" t="n">
        <v>64</v>
      </c>
      <c r="D7" s="0" t="n">
        <v>1</v>
      </c>
    </row>
    <row r="8" customFormat="false" ht="15" hidden="false" customHeight="false" outlineLevel="0" collapsed="false">
      <c r="A8" s="25" t="n">
        <v>46268</v>
      </c>
      <c r="B8" s="26" t="s">
        <v>13</v>
      </c>
      <c r="C8" s="0" t="n">
        <v>213</v>
      </c>
      <c r="D8" s="0" t="n">
        <v>0</v>
      </c>
    </row>
    <row r="9" customFormat="false" ht="15" hidden="false" customHeight="false" outlineLevel="0" collapsed="false">
      <c r="A9" s="25" t="n">
        <v>46268</v>
      </c>
      <c r="B9" s="26" t="s">
        <v>14</v>
      </c>
      <c r="C9" s="0" t="n">
        <v>105</v>
      </c>
      <c r="D9" s="0" t="n">
        <v>0</v>
      </c>
    </row>
    <row r="10" customFormat="false" ht="15" hidden="false" customHeight="false" outlineLevel="0" collapsed="false">
      <c r="A10" s="25" t="n">
        <v>46268</v>
      </c>
      <c r="B10" s="26" t="s">
        <v>15</v>
      </c>
      <c r="C10" s="0" t="n">
        <v>80</v>
      </c>
      <c r="D10" s="0" t="n">
        <v>1</v>
      </c>
    </row>
    <row r="11" customFormat="false" ht="15" hidden="false" customHeight="false" outlineLevel="0" collapsed="false">
      <c r="A11" s="25" t="n">
        <v>46269</v>
      </c>
      <c r="B11" s="26" t="s">
        <v>13</v>
      </c>
      <c r="C11" s="0" t="n">
        <v>205</v>
      </c>
      <c r="D11" s="0" t="n">
        <v>0</v>
      </c>
    </row>
    <row r="12" customFormat="false" ht="15" hidden="false" customHeight="false" outlineLevel="0" collapsed="false">
      <c r="A12" s="25" t="n">
        <v>46269</v>
      </c>
      <c r="B12" s="26" t="s">
        <v>14</v>
      </c>
      <c r="C12" s="0" t="n">
        <v>138</v>
      </c>
      <c r="D12" s="0" t="n">
        <v>0</v>
      </c>
    </row>
    <row r="13" customFormat="false" ht="15" hidden="false" customHeight="false" outlineLevel="0" collapsed="false">
      <c r="A13" s="25" t="n">
        <v>46269</v>
      </c>
      <c r="B13" s="26" t="s">
        <v>15</v>
      </c>
      <c r="C13" s="0" t="n">
        <v>76</v>
      </c>
      <c r="D13" s="0" t="n">
        <v>0</v>
      </c>
    </row>
    <row r="14" customFormat="false" ht="15" hidden="false" customHeight="false" outlineLevel="0" collapsed="false">
      <c r="A14" s="25" t="n">
        <v>46270</v>
      </c>
      <c r="B14" s="26" t="s">
        <v>13</v>
      </c>
      <c r="C14" s="0" t="n">
        <v>192</v>
      </c>
      <c r="D14" s="0" t="n">
        <v>0</v>
      </c>
    </row>
    <row r="15" customFormat="false" ht="15" hidden="false" customHeight="false" outlineLevel="0" collapsed="false">
      <c r="A15" s="25" t="n">
        <v>46270</v>
      </c>
      <c r="B15" s="26" t="s">
        <v>14</v>
      </c>
      <c r="C15" s="0" t="n">
        <v>121</v>
      </c>
      <c r="D15" s="0" t="n">
        <v>0</v>
      </c>
    </row>
    <row r="16" customFormat="false" ht="15" hidden="false" customHeight="false" outlineLevel="0" collapsed="false">
      <c r="A16" s="25" t="n">
        <v>46270</v>
      </c>
      <c r="B16" s="26" t="s">
        <v>15</v>
      </c>
      <c r="C16" s="0" t="n">
        <v>71</v>
      </c>
      <c r="D16" s="0" t="n">
        <v>0</v>
      </c>
    </row>
    <row r="17" customFormat="false" ht="15" hidden="false" customHeight="false" outlineLevel="0" collapsed="false">
      <c r="A17" s="25" t="n">
        <v>46271</v>
      </c>
      <c r="B17" s="26" t="s">
        <v>13</v>
      </c>
      <c r="C17" s="0" t="n">
        <v>222</v>
      </c>
      <c r="D17" s="0" t="n">
        <v>0</v>
      </c>
    </row>
    <row r="18" customFormat="false" ht="15" hidden="false" customHeight="false" outlineLevel="0" collapsed="false">
      <c r="A18" s="25" t="n">
        <v>46271</v>
      </c>
      <c r="B18" s="26" t="s">
        <v>14</v>
      </c>
      <c r="C18" s="0" t="n">
        <v>135</v>
      </c>
      <c r="D18" s="0" t="n">
        <v>0</v>
      </c>
    </row>
    <row r="19" customFormat="false" ht="15" hidden="false" customHeight="false" outlineLevel="0" collapsed="false">
      <c r="A19" s="25" t="n">
        <v>46271</v>
      </c>
      <c r="B19" s="26" t="s">
        <v>15</v>
      </c>
      <c r="C19" s="0" t="n">
        <v>75</v>
      </c>
      <c r="D19" s="0" t="n">
        <v>2</v>
      </c>
    </row>
    <row r="20" customFormat="false" ht="15" hidden="false" customHeight="false" outlineLevel="0" collapsed="false">
      <c r="A20" s="25" t="n">
        <v>46272</v>
      </c>
      <c r="B20" s="26" t="s">
        <v>13</v>
      </c>
      <c r="C20" s="0" t="n">
        <v>167</v>
      </c>
      <c r="D20" s="0" t="n">
        <v>0</v>
      </c>
    </row>
    <row r="21" customFormat="false" ht="15" hidden="false" customHeight="false" outlineLevel="0" collapsed="false">
      <c r="A21" s="25" t="n">
        <v>46272</v>
      </c>
      <c r="B21" s="26" t="s">
        <v>14</v>
      </c>
      <c r="C21" s="0" t="n">
        <v>115</v>
      </c>
      <c r="D21" s="0" t="n">
        <v>0</v>
      </c>
    </row>
    <row r="22" customFormat="false" ht="15" hidden="false" customHeight="false" outlineLevel="0" collapsed="false">
      <c r="A22" s="25" t="n">
        <v>46272</v>
      </c>
      <c r="B22" s="26" t="s">
        <v>15</v>
      </c>
      <c r="C22" s="0" t="n">
        <v>64</v>
      </c>
      <c r="D22" s="0" t="n">
        <v>3</v>
      </c>
    </row>
    <row r="23" customFormat="false" ht="15" hidden="false" customHeight="false" outlineLevel="0" collapsed="false">
      <c r="A23" s="25" t="n">
        <v>46273</v>
      </c>
      <c r="B23" s="26" t="s">
        <v>13</v>
      </c>
      <c r="C23" s="0" t="n">
        <v>159</v>
      </c>
      <c r="D23" s="0" t="n">
        <v>0</v>
      </c>
    </row>
    <row r="24" customFormat="false" ht="15" hidden="false" customHeight="false" outlineLevel="0" collapsed="false">
      <c r="A24" s="25" t="n">
        <v>46273</v>
      </c>
      <c r="B24" s="26" t="s">
        <v>14</v>
      </c>
      <c r="C24" s="0" t="n">
        <v>135</v>
      </c>
      <c r="D24" s="0" t="n">
        <v>0</v>
      </c>
    </row>
    <row r="25" customFormat="false" ht="15" hidden="false" customHeight="false" outlineLevel="0" collapsed="false">
      <c r="A25" s="25" t="n">
        <v>46273</v>
      </c>
      <c r="B25" s="26" t="s">
        <v>15</v>
      </c>
      <c r="C25" s="0" t="n">
        <v>61</v>
      </c>
      <c r="D25" s="0" t="n">
        <v>1</v>
      </c>
    </row>
    <row r="26" customFormat="false" ht="15" hidden="false" customHeight="false" outlineLevel="0" collapsed="false">
      <c r="A26" s="25" t="n">
        <v>46274</v>
      </c>
      <c r="B26" s="26" t="s">
        <v>13</v>
      </c>
      <c r="C26" s="0" t="n">
        <v>195</v>
      </c>
      <c r="D26" s="0" t="n">
        <v>0</v>
      </c>
    </row>
    <row r="27" customFormat="false" ht="15" hidden="false" customHeight="false" outlineLevel="0" collapsed="false">
      <c r="A27" s="25" t="n">
        <v>46274</v>
      </c>
      <c r="B27" s="26" t="s">
        <v>14</v>
      </c>
      <c r="C27" s="0" t="n">
        <v>113</v>
      </c>
      <c r="D27" s="0" t="n">
        <v>0</v>
      </c>
    </row>
    <row r="28" customFormat="false" ht="15" hidden="false" customHeight="false" outlineLevel="0" collapsed="false">
      <c r="A28" s="25" t="n">
        <v>46274</v>
      </c>
      <c r="B28" s="26" t="s">
        <v>15</v>
      </c>
      <c r="C28" s="0" t="n">
        <v>62</v>
      </c>
      <c r="D28" s="0" t="n">
        <v>1</v>
      </c>
    </row>
    <row r="29" customFormat="false" ht="15" hidden="false" customHeight="false" outlineLevel="0" collapsed="false">
      <c r="A29" s="25" t="n">
        <v>46275</v>
      </c>
      <c r="B29" s="26" t="s">
        <v>13</v>
      </c>
      <c r="C29" s="0" t="n">
        <v>210</v>
      </c>
      <c r="D29" s="0" t="n">
        <v>1</v>
      </c>
    </row>
    <row r="30" customFormat="false" ht="15" hidden="false" customHeight="false" outlineLevel="0" collapsed="false">
      <c r="A30" s="25" t="n">
        <v>46275</v>
      </c>
      <c r="B30" s="26" t="s">
        <v>14</v>
      </c>
      <c r="C30" s="0" t="n">
        <v>134</v>
      </c>
      <c r="D30" s="0" t="n">
        <v>0</v>
      </c>
    </row>
    <row r="31" customFormat="false" ht="15" hidden="false" customHeight="false" outlineLevel="0" collapsed="false">
      <c r="A31" s="25" t="n">
        <v>46275</v>
      </c>
      <c r="B31" s="26" t="s">
        <v>15</v>
      </c>
      <c r="C31" s="0" t="n">
        <v>59</v>
      </c>
      <c r="D31" s="0" t="n">
        <v>0</v>
      </c>
    </row>
    <row r="32" customFormat="false" ht="15" hidden="false" customHeight="false" outlineLevel="0" collapsed="false">
      <c r="A32" s="25" t="n">
        <v>46276</v>
      </c>
      <c r="B32" s="26" t="s">
        <v>13</v>
      </c>
      <c r="C32" s="0" t="n">
        <v>154</v>
      </c>
      <c r="D32" s="0" t="n">
        <v>2</v>
      </c>
    </row>
    <row r="33" customFormat="false" ht="15" hidden="false" customHeight="false" outlineLevel="0" collapsed="false">
      <c r="A33" s="25" t="n">
        <v>46276</v>
      </c>
      <c r="B33" s="26" t="s">
        <v>14</v>
      </c>
      <c r="C33" s="0" t="n">
        <v>121</v>
      </c>
      <c r="D33" s="0" t="n">
        <v>0</v>
      </c>
    </row>
    <row r="34" customFormat="false" ht="15" hidden="false" customHeight="false" outlineLevel="0" collapsed="false">
      <c r="A34" s="25" t="n">
        <v>46276</v>
      </c>
      <c r="B34" s="26" t="s">
        <v>15</v>
      </c>
      <c r="C34" s="0" t="n">
        <v>65</v>
      </c>
      <c r="D34" s="0" t="n">
        <v>2</v>
      </c>
    </row>
    <row r="35" customFormat="false" ht="15" hidden="false" customHeight="false" outlineLevel="0" collapsed="false">
      <c r="A35" s="25" t="n">
        <v>46277</v>
      </c>
      <c r="B35" s="26" t="s">
        <v>13</v>
      </c>
      <c r="C35" s="0" t="n">
        <v>200</v>
      </c>
      <c r="D35" s="0" t="n">
        <v>0</v>
      </c>
    </row>
    <row r="36" customFormat="false" ht="15" hidden="false" customHeight="false" outlineLevel="0" collapsed="false">
      <c r="A36" s="25" t="n">
        <v>46277</v>
      </c>
      <c r="B36" s="26" t="s">
        <v>14</v>
      </c>
      <c r="C36" s="0" t="n">
        <v>128</v>
      </c>
      <c r="D36" s="0" t="n">
        <v>0</v>
      </c>
    </row>
    <row r="37" customFormat="false" ht="15" hidden="false" customHeight="false" outlineLevel="0" collapsed="false">
      <c r="A37" s="25" t="n">
        <v>46277</v>
      </c>
      <c r="B37" s="26" t="s">
        <v>15</v>
      </c>
      <c r="C37" s="0" t="n">
        <v>70</v>
      </c>
      <c r="D37" s="0" t="n">
        <v>1</v>
      </c>
    </row>
    <row r="38" customFormat="false" ht="15" hidden="false" customHeight="false" outlineLevel="0" collapsed="false">
      <c r="A38" s="25" t="n">
        <v>46278</v>
      </c>
      <c r="B38" s="26" t="s">
        <v>13</v>
      </c>
      <c r="C38" s="0" t="n">
        <v>191</v>
      </c>
      <c r="D38" s="0" t="n">
        <v>0</v>
      </c>
    </row>
    <row r="39" customFormat="false" ht="15" hidden="false" customHeight="false" outlineLevel="0" collapsed="false">
      <c r="A39" s="25" t="n">
        <v>46278</v>
      </c>
      <c r="B39" s="26" t="s">
        <v>14</v>
      </c>
      <c r="C39" s="0" t="n">
        <v>162</v>
      </c>
      <c r="D39" s="0" t="n">
        <v>0</v>
      </c>
    </row>
    <row r="40" customFormat="false" ht="15" hidden="false" customHeight="false" outlineLevel="0" collapsed="false">
      <c r="A40" s="25" t="n">
        <v>46278</v>
      </c>
      <c r="B40" s="26" t="s">
        <v>15</v>
      </c>
      <c r="C40" s="0" t="n">
        <v>81</v>
      </c>
      <c r="D40" s="0" t="n">
        <v>2</v>
      </c>
    </row>
    <row r="41" customFormat="false" ht="15" hidden="false" customHeight="false" outlineLevel="0" collapsed="false">
      <c r="A41" s="25" t="n">
        <v>46279</v>
      </c>
      <c r="B41" s="26" t="s">
        <v>13</v>
      </c>
      <c r="C41" s="0" t="n">
        <v>207</v>
      </c>
      <c r="D41" s="0" t="n">
        <v>0</v>
      </c>
    </row>
    <row r="42" customFormat="false" ht="15" hidden="false" customHeight="false" outlineLevel="0" collapsed="false">
      <c r="A42" s="25" t="n">
        <v>46279</v>
      </c>
      <c r="B42" s="26" t="s">
        <v>14</v>
      </c>
      <c r="C42" s="0" t="n">
        <v>109</v>
      </c>
      <c r="D42" s="0" t="n">
        <v>0</v>
      </c>
    </row>
    <row r="43" customFormat="false" ht="15" hidden="false" customHeight="false" outlineLevel="0" collapsed="false">
      <c r="A43" s="25" t="n">
        <v>46279</v>
      </c>
      <c r="B43" s="26" t="s">
        <v>15</v>
      </c>
      <c r="C43" s="0" t="n">
        <v>69</v>
      </c>
      <c r="D43" s="0" t="n">
        <v>2</v>
      </c>
    </row>
    <row r="44" customFormat="false" ht="15" hidden="false" customHeight="false" outlineLevel="0" collapsed="false">
      <c r="A44" s="25" t="n">
        <v>46280</v>
      </c>
      <c r="B44" s="26" t="s">
        <v>13</v>
      </c>
      <c r="C44" s="0" t="n">
        <v>183</v>
      </c>
      <c r="D44" s="0" t="n">
        <v>0</v>
      </c>
    </row>
    <row r="45" customFormat="false" ht="15" hidden="false" customHeight="false" outlineLevel="0" collapsed="false">
      <c r="A45" s="25" t="n">
        <v>46280</v>
      </c>
      <c r="B45" s="26" t="s">
        <v>14</v>
      </c>
      <c r="C45" s="0" t="n">
        <v>118</v>
      </c>
      <c r="D45" s="0" t="n">
        <v>0</v>
      </c>
    </row>
    <row r="46" customFormat="false" ht="15" hidden="false" customHeight="false" outlineLevel="0" collapsed="false">
      <c r="A46" s="25" t="n">
        <v>46280</v>
      </c>
      <c r="B46" s="26" t="s">
        <v>15</v>
      </c>
      <c r="C46" s="0" t="n">
        <v>68</v>
      </c>
      <c r="D46" s="0" t="n">
        <v>5</v>
      </c>
    </row>
    <row r="47" customFormat="false" ht="15" hidden="false" customHeight="false" outlineLevel="0" collapsed="false">
      <c r="A47" s="25" t="n">
        <v>46281</v>
      </c>
      <c r="B47" s="26" t="s">
        <v>13</v>
      </c>
      <c r="C47" s="0" t="n">
        <v>179</v>
      </c>
      <c r="D47" s="0" t="n">
        <v>0</v>
      </c>
    </row>
    <row r="48" customFormat="false" ht="15" hidden="false" customHeight="false" outlineLevel="0" collapsed="false">
      <c r="A48" s="25" t="n">
        <v>46281</v>
      </c>
      <c r="B48" s="26" t="s">
        <v>14</v>
      </c>
      <c r="C48" s="0" t="n">
        <v>123</v>
      </c>
      <c r="D48" s="0" t="n">
        <v>2</v>
      </c>
    </row>
    <row r="49" customFormat="false" ht="15" hidden="false" customHeight="false" outlineLevel="0" collapsed="false">
      <c r="A49" s="25" t="n">
        <v>46281</v>
      </c>
      <c r="B49" s="26" t="s">
        <v>15</v>
      </c>
      <c r="C49" s="0" t="n">
        <v>61</v>
      </c>
      <c r="D49" s="0" t="n">
        <v>2</v>
      </c>
    </row>
    <row r="50" customFormat="false" ht="15" hidden="false" customHeight="false" outlineLevel="0" collapsed="false">
      <c r="A50" s="25" t="n">
        <v>46282</v>
      </c>
      <c r="B50" s="26" t="s">
        <v>13</v>
      </c>
      <c r="C50" s="0" t="n">
        <v>204</v>
      </c>
      <c r="D50" s="0" t="n">
        <v>0</v>
      </c>
    </row>
    <row r="51" customFormat="false" ht="15" hidden="false" customHeight="false" outlineLevel="0" collapsed="false">
      <c r="A51" s="25" t="n">
        <v>46282</v>
      </c>
      <c r="B51" s="26" t="s">
        <v>14</v>
      </c>
      <c r="C51" s="0" t="n">
        <v>129</v>
      </c>
      <c r="D51" s="0" t="n">
        <v>2</v>
      </c>
    </row>
    <row r="52" customFormat="false" ht="15" hidden="false" customHeight="false" outlineLevel="0" collapsed="false">
      <c r="A52" s="25" t="n">
        <v>46282</v>
      </c>
      <c r="B52" s="26" t="s">
        <v>15</v>
      </c>
      <c r="C52" s="0" t="n">
        <v>80</v>
      </c>
      <c r="D52" s="0" t="n">
        <v>2</v>
      </c>
    </row>
    <row r="53" customFormat="false" ht="15" hidden="false" customHeight="false" outlineLevel="0" collapsed="false">
      <c r="A53" s="25" t="n">
        <v>46283</v>
      </c>
      <c r="B53" s="26" t="s">
        <v>13</v>
      </c>
      <c r="C53" s="0" t="n">
        <v>209</v>
      </c>
      <c r="D53" s="0" t="n">
        <v>0</v>
      </c>
    </row>
    <row r="54" customFormat="false" ht="15" hidden="false" customHeight="false" outlineLevel="0" collapsed="false">
      <c r="A54" s="25" t="n">
        <v>46283</v>
      </c>
      <c r="B54" s="26" t="s">
        <v>14</v>
      </c>
      <c r="C54" s="0" t="n">
        <v>137</v>
      </c>
      <c r="D54" s="0" t="n">
        <v>0</v>
      </c>
    </row>
    <row r="55" customFormat="false" ht="15" hidden="false" customHeight="false" outlineLevel="0" collapsed="false">
      <c r="A55" s="25" t="n">
        <v>46283</v>
      </c>
      <c r="B55" s="26" t="s">
        <v>15</v>
      </c>
      <c r="C55" s="0" t="n">
        <v>63</v>
      </c>
      <c r="D55" s="0" t="n">
        <v>0</v>
      </c>
    </row>
    <row r="56" customFormat="false" ht="15" hidden="false" customHeight="false" outlineLevel="0" collapsed="false">
      <c r="A56" s="25" t="n">
        <v>46284</v>
      </c>
      <c r="B56" s="26" t="s">
        <v>13</v>
      </c>
      <c r="C56" s="0" t="n">
        <v>198</v>
      </c>
      <c r="D56" s="0" t="n">
        <v>1</v>
      </c>
    </row>
    <row r="57" customFormat="false" ht="15" hidden="false" customHeight="false" outlineLevel="0" collapsed="false">
      <c r="A57" s="25" t="n">
        <v>46284</v>
      </c>
      <c r="B57" s="26" t="s">
        <v>14</v>
      </c>
      <c r="C57" s="0" t="n">
        <v>154</v>
      </c>
      <c r="D57" s="0" t="n">
        <v>1</v>
      </c>
    </row>
    <row r="58" customFormat="false" ht="15" hidden="false" customHeight="false" outlineLevel="0" collapsed="false">
      <c r="A58" s="25" t="n">
        <v>46284</v>
      </c>
      <c r="B58" s="26" t="s">
        <v>15</v>
      </c>
      <c r="C58" s="0" t="n">
        <v>91</v>
      </c>
      <c r="D58" s="0" t="n">
        <v>2</v>
      </c>
    </row>
    <row r="59" customFormat="false" ht="15" hidden="false" customHeight="false" outlineLevel="0" collapsed="false">
      <c r="A59" s="25" t="n">
        <v>46285</v>
      </c>
      <c r="B59" s="26" t="s">
        <v>13</v>
      </c>
      <c r="C59" s="0" t="n">
        <v>192</v>
      </c>
      <c r="D59" s="0" t="n">
        <v>1</v>
      </c>
    </row>
    <row r="60" customFormat="false" ht="15" hidden="false" customHeight="false" outlineLevel="0" collapsed="false">
      <c r="A60" s="25" t="n">
        <v>46285</v>
      </c>
      <c r="B60" s="26" t="s">
        <v>14</v>
      </c>
      <c r="C60" s="0" t="n">
        <v>133</v>
      </c>
      <c r="D60" s="0" t="n">
        <v>1</v>
      </c>
    </row>
    <row r="61" customFormat="false" ht="15" hidden="false" customHeight="false" outlineLevel="0" collapsed="false">
      <c r="A61" s="25" t="n">
        <v>46285</v>
      </c>
      <c r="B61" s="26" t="s">
        <v>15</v>
      </c>
      <c r="C61" s="0" t="n">
        <v>94</v>
      </c>
      <c r="D61" s="0" t="n">
        <v>0</v>
      </c>
    </row>
    <row r="62" customFormat="false" ht="15" hidden="false" customHeight="false" outlineLevel="0" collapsed="false">
      <c r="A62" s="25" t="n">
        <v>46286</v>
      </c>
      <c r="B62" s="26" t="s">
        <v>13</v>
      </c>
      <c r="C62" s="0" t="n">
        <v>214</v>
      </c>
      <c r="D62" s="0" t="n">
        <v>0</v>
      </c>
    </row>
    <row r="63" customFormat="false" ht="15" hidden="false" customHeight="false" outlineLevel="0" collapsed="false">
      <c r="A63" s="25" t="n">
        <v>46286</v>
      </c>
      <c r="B63" s="26" t="s">
        <v>14</v>
      </c>
      <c r="C63" s="0" t="n">
        <v>142</v>
      </c>
      <c r="D63" s="0" t="n">
        <v>0</v>
      </c>
    </row>
    <row r="64" customFormat="false" ht="15" hidden="false" customHeight="false" outlineLevel="0" collapsed="false">
      <c r="A64" s="25" t="n">
        <v>46286</v>
      </c>
      <c r="B64" s="26" t="s">
        <v>15</v>
      </c>
      <c r="C64" s="0" t="n">
        <v>62</v>
      </c>
      <c r="D64" s="0" t="n">
        <v>1</v>
      </c>
    </row>
    <row r="65" customFormat="false" ht="15" hidden="false" customHeight="false" outlineLevel="0" collapsed="false">
      <c r="A65" s="25" t="n">
        <v>46287</v>
      </c>
      <c r="B65" s="26" t="s">
        <v>13</v>
      </c>
      <c r="C65" s="0" t="n">
        <v>169</v>
      </c>
      <c r="D65" s="0" t="n">
        <v>1</v>
      </c>
    </row>
    <row r="66" customFormat="false" ht="15" hidden="false" customHeight="false" outlineLevel="0" collapsed="false">
      <c r="A66" s="25" t="n">
        <v>46287</v>
      </c>
      <c r="B66" s="26" t="s">
        <v>14</v>
      </c>
      <c r="C66" s="0" t="n">
        <v>117</v>
      </c>
      <c r="D66" s="0" t="n">
        <v>0</v>
      </c>
    </row>
    <row r="67" customFormat="false" ht="15" hidden="false" customHeight="false" outlineLevel="0" collapsed="false">
      <c r="A67" s="25" t="n">
        <v>46287</v>
      </c>
      <c r="B67" s="26" t="s">
        <v>15</v>
      </c>
      <c r="C67" s="0" t="n">
        <v>75</v>
      </c>
      <c r="D67" s="0" t="n">
        <v>0</v>
      </c>
    </row>
    <row r="68" customFormat="false" ht="15" hidden="false" customHeight="false" outlineLevel="0" collapsed="false">
      <c r="A68" s="25" t="n">
        <v>46288</v>
      </c>
      <c r="B68" s="26" t="s">
        <v>13</v>
      </c>
      <c r="C68" s="0" t="n">
        <v>172</v>
      </c>
      <c r="D68" s="0" t="n">
        <v>1</v>
      </c>
    </row>
    <row r="69" customFormat="false" ht="15" hidden="false" customHeight="false" outlineLevel="0" collapsed="false">
      <c r="A69" s="25" t="n">
        <v>46288</v>
      </c>
      <c r="B69" s="26" t="s">
        <v>14</v>
      </c>
      <c r="C69" s="0" t="n">
        <v>107</v>
      </c>
      <c r="D69" s="0" t="n">
        <v>0</v>
      </c>
    </row>
    <row r="70" customFormat="false" ht="15" hidden="false" customHeight="false" outlineLevel="0" collapsed="false">
      <c r="A70" s="25" t="n">
        <v>46288</v>
      </c>
      <c r="B70" s="26" t="s">
        <v>15</v>
      </c>
      <c r="C70" s="0" t="n">
        <v>82</v>
      </c>
      <c r="D70" s="0" t="n">
        <v>1</v>
      </c>
    </row>
    <row r="71" customFormat="false" ht="15" hidden="false" customHeight="false" outlineLevel="0" collapsed="false">
      <c r="A71" s="25" t="n">
        <v>46289</v>
      </c>
      <c r="B71" s="26" t="s">
        <v>13</v>
      </c>
      <c r="C71" s="0" t="n">
        <v>180</v>
      </c>
      <c r="D71" s="0" t="n">
        <v>0</v>
      </c>
    </row>
    <row r="72" customFormat="false" ht="15" hidden="false" customHeight="false" outlineLevel="0" collapsed="false">
      <c r="A72" s="25" t="n">
        <v>46289</v>
      </c>
      <c r="B72" s="26" t="s">
        <v>14</v>
      </c>
      <c r="C72" s="0" t="n">
        <v>129</v>
      </c>
      <c r="D72" s="0" t="n">
        <v>0</v>
      </c>
    </row>
    <row r="73" customFormat="false" ht="15" hidden="false" customHeight="false" outlineLevel="0" collapsed="false">
      <c r="A73" s="25" t="n">
        <v>46289</v>
      </c>
      <c r="B73" s="26" t="s">
        <v>15</v>
      </c>
      <c r="C73" s="0" t="n">
        <v>70</v>
      </c>
      <c r="D73" s="0" t="n">
        <v>0</v>
      </c>
    </row>
    <row r="74" customFormat="false" ht="15" hidden="false" customHeight="false" outlineLevel="0" collapsed="false">
      <c r="A74" s="25" t="n">
        <v>46290</v>
      </c>
      <c r="B74" s="26" t="s">
        <v>13</v>
      </c>
      <c r="C74" s="0" t="n">
        <v>182</v>
      </c>
      <c r="D74" s="0" t="n">
        <v>1</v>
      </c>
    </row>
    <row r="75" customFormat="false" ht="15" hidden="false" customHeight="false" outlineLevel="0" collapsed="false">
      <c r="A75" s="25" t="n">
        <v>46290</v>
      </c>
      <c r="B75" s="26" t="s">
        <v>14</v>
      </c>
      <c r="C75" s="0" t="n">
        <v>130</v>
      </c>
      <c r="D75" s="0" t="n">
        <v>0</v>
      </c>
    </row>
    <row r="76" customFormat="false" ht="15" hidden="false" customHeight="false" outlineLevel="0" collapsed="false">
      <c r="A76" s="25" t="n">
        <v>46290</v>
      </c>
      <c r="B76" s="26" t="s">
        <v>15</v>
      </c>
      <c r="C76" s="0" t="n">
        <v>64</v>
      </c>
      <c r="D76" s="0" t="n">
        <v>0</v>
      </c>
    </row>
    <row r="77" customFormat="false" ht="15" hidden="false" customHeight="false" outlineLevel="0" collapsed="false">
      <c r="A77" s="25" t="n">
        <v>46291</v>
      </c>
      <c r="B77" s="26" t="s">
        <v>13</v>
      </c>
      <c r="C77" s="0" t="n">
        <v>193</v>
      </c>
      <c r="D77" s="0" t="n">
        <v>0</v>
      </c>
    </row>
    <row r="78" customFormat="false" ht="15" hidden="false" customHeight="false" outlineLevel="0" collapsed="false">
      <c r="A78" s="25" t="n">
        <v>46291</v>
      </c>
      <c r="B78" s="26" t="s">
        <v>14</v>
      </c>
      <c r="C78" s="0" t="n">
        <v>158</v>
      </c>
      <c r="D78" s="0" t="n">
        <v>0</v>
      </c>
    </row>
    <row r="79" customFormat="false" ht="15" hidden="false" customHeight="false" outlineLevel="0" collapsed="false">
      <c r="A79" s="25" t="n">
        <v>46291</v>
      </c>
      <c r="B79" s="26" t="s">
        <v>15</v>
      </c>
      <c r="C79" s="0" t="n">
        <v>80</v>
      </c>
      <c r="D79" s="0" t="n">
        <v>1</v>
      </c>
    </row>
    <row r="80" customFormat="false" ht="15" hidden="false" customHeight="false" outlineLevel="0" collapsed="false">
      <c r="A80" s="25" t="n">
        <v>46292</v>
      </c>
      <c r="B80" s="26" t="s">
        <v>13</v>
      </c>
      <c r="C80" s="0" t="n">
        <v>232</v>
      </c>
      <c r="D80" s="0" t="n">
        <v>0</v>
      </c>
    </row>
    <row r="81" customFormat="false" ht="15" hidden="false" customHeight="false" outlineLevel="0" collapsed="false">
      <c r="A81" s="25" t="n">
        <v>46292</v>
      </c>
      <c r="B81" s="26" t="s">
        <v>14</v>
      </c>
      <c r="C81" s="0" t="n">
        <v>156</v>
      </c>
      <c r="D81" s="0" t="n">
        <v>1</v>
      </c>
    </row>
    <row r="82" customFormat="false" ht="15" hidden="false" customHeight="false" outlineLevel="0" collapsed="false">
      <c r="A82" s="25" t="n">
        <v>46292</v>
      </c>
      <c r="B82" s="26" t="s">
        <v>15</v>
      </c>
      <c r="C82" s="0" t="n">
        <v>96</v>
      </c>
      <c r="D82" s="0" t="n">
        <v>1</v>
      </c>
    </row>
    <row r="83" customFormat="false" ht="15" hidden="false" customHeight="false" outlineLevel="0" collapsed="false">
      <c r="A83" s="25" t="n">
        <v>46293</v>
      </c>
      <c r="B83" s="26" t="s">
        <v>13</v>
      </c>
      <c r="C83" s="0" t="n">
        <v>181</v>
      </c>
      <c r="D83" s="0" t="n">
        <v>0</v>
      </c>
    </row>
    <row r="84" customFormat="false" ht="15" hidden="false" customHeight="false" outlineLevel="0" collapsed="false">
      <c r="A84" s="25" t="n">
        <v>46293</v>
      </c>
      <c r="B84" s="26" t="s">
        <v>14</v>
      </c>
      <c r="C84" s="0" t="n">
        <v>138</v>
      </c>
      <c r="D84" s="0" t="n">
        <v>0</v>
      </c>
    </row>
    <row r="85" customFormat="false" ht="15" hidden="false" customHeight="false" outlineLevel="0" collapsed="false">
      <c r="A85" s="25" t="n">
        <v>46293</v>
      </c>
      <c r="B85" s="26" t="s">
        <v>15</v>
      </c>
      <c r="C85" s="0" t="n">
        <v>77</v>
      </c>
      <c r="D85" s="0" t="n">
        <v>2</v>
      </c>
    </row>
    <row r="86" customFormat="false" ht="15" hidden="false" customHeight="false" outlineLevel="0" collapsed="false">
      <c r="A86" s="25" t="n">
        <v>46294</v>
      </c>
      <c r="B86" s="26" t="s">
        <v>13</v>
      </c>
      <c r="C86" s="0" t="n">
        <v>166</v>
      </c>
      <c r="D86" s="0" t="n">
        <v>0</v>
      </c>
    </row>
    <row r="87" customFormat="false" ht="15" hidden="false" customHeight="false" outlineLevel="0" collapsed="false">
      <c r="A87" s="25" t="n">
        <v>46294</v>
      </c>
      <c r="B87" s="26" t="s">
        <v>14</v>
      </c>
      <c r="C87" s="0" t="n">
        <v>115</v>
      </c>
      <c r="D87" s="0" t="n">
        <v>0</v>
      </c>
    </row>
    <row r="88" customFormat="false" ht="15" hidden="false" customHeight="false" outlineLevel="0" collapsed="false">
      <c r="A88" s="25" t="n">
        <v>46294</v>
      </c>
      <c r="B88" s="26" t="s">
        <v>15</v>
      </c>
      <c r="C88" s="0" t="n">
        <v>61</v>
      </c>
      <c r="D88" s="0" t="n">
        <v>2</v>
      </c>
    </row>
    <row r="89" customFormat="false" ht="15" hidden="false" customHeight="false" outlineLevel="0" collapsed="false">
      <c r="A89" s="25" t="n">
        <v>46295</v>
      </c>
      <c r="B89" s="26" t="s">
        <v>13</v>
      </c>
      <c r="C89" s="0" t="n">
        <v>183</v>
      </c>
      <c r="D89" s="0" t="n">
        <v>0</v>
      </c>
    </row>
    <row r="90" customFormat="false" ht="15" hidden="false" customHeight="false" outlineLevel="0" collapsed="false">
      <c r="A90" s="25" t="n">
        <v>46295</v>
      </c>
      <c r="B90" s="26" t="s">
        <v>14</v>
      </c>
      <c r="C90" s="0" t="n">
        <v>122</v>
      </c>
      <c r="D90" s="0" t="n">
        <v>0</v>
      </c>
    </row>
    <row r="91" customFormat="false" ht="15" hidden="false" customHeight="false" outlineLevel="0" collapsed="false">
      <c r="A91" s="25" t="n">
        <v>46295</v>
      </c>
      <c r="B91" s="26" t="s">
        <v>15</v>
      </c>
      <c r="C91" s="0" t="n">
        <v>75</v>
      </c>
      <c r="D91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5CE"/>
    <pageSetUpPr fitToPage="fals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6"/>
    <col collapsed="false" customWidth="true" hidden="false" outlineLevel="0" max="7" min="7" style="0" width="52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24" t="s">
        <v>29</v>
      </c>
      <c r="B1" s="24" t="s">
        <v>20</v>
      </c>
      <c r="C1" s="24" t="s">
        <v>11</v>
      </c>
      <c r="D1" s="24" t="s">
        <v>30</v>
      </c>
      <c r="E1" s="24" t="s">
        <v>18</v>
      </c>
      <c r="F1" s="24" t="s">
        <v>31</v>
      </c>
      <c r="G1" s="24" t="s">
        <v>32</v>
      </c>
      <c r="H1" s="24" t="s">
        <v>19</v>
      </c>
    </row>
    <row r="2" customFormat="false" ht="15" hidden="false" customHeight="false" outlineLevel="0" collapsed="false">
      <c r="A2" s="0" t="s">
        <v>76</v>
      </c>
      <c r="B2" s="25" t="n">
        <v>46266</v>
      </c>
      <c r="C2" s="26" t="s">
        <v>15</v>
      </c>
      <c r="D2" s="26" t="s">
        <v>77</v>
      </c>
      <c r="E2" s="26" t="s">
        <v>24</v>
      </c>
      <c r="F2" s="27" t="n">
        <v>10601.75</v>
      </c>
      <c r="G2" s="26" t="s">
        <v>78</v>
      </c>
      <c r="H2" s="26" t="s">
        <v>79</v>
      </c>
    </row>
    <row r="3" customFormat="false" ht="15" hidden="false" customHeight="false" outlineLevel="0" collapsed="false">
      <c r="A3" s="0" t="s">
        <v>80</v>
      </c>
      <c r="B3" s="25" t="n">
        <v>46267</v>
      </c>
      <c r="C3" s="26" t="s">
        <v>15</v>
      </c>
      <c r="D3" s="26" t="s">
        <v>81</v>
      </c>
      <c r="E3" s="26" t="s">
        <v>23</v>
      </c>
      <c r="F3" s="27" t="n">
        <v>11527.01</v>
      </c>
      <c r="G3" s="26" t="s">
        <v>82</v>
      </c>
      <c r="H3" s="26" t="s">
        <v>79</v>
      </c>
    </row>
    <row r="4" customFormat="false" ht="15" hidden="false" customHeight="false" outlineLevel="0" collapsed="false">
      <c r="A4" s="0" t="s">
        <v>83</v>
      </c>
      <c r="B4" s="25" t="n">
        <v>46268</v>
      </c>
      <c r="C4" s="26" t="s">
        <v>15</v>
      </c>
      <c r="D4" s="26" t="s">
        <v>84</v>
      </c>
      <c r="E4" s="26" t="s">
        <v>23</v>
      </c>
      <c r="F4" s="27" t="n">
        <v>12598.96</v>
      </c>
      <c r="G4" s="26" t="s">
        <v>82</v>
      </c>
      <c r="H4" s="26" t="s">
        <v>79</v>
      </c>
    </row>
    <row r="5" customFormat="false" ht="15" hidden="false" customHeight="false" outlineLevel="0" collapsed="false">
      <c r="A5" s="0" t="s">
        <v>85</v>
      </c>
      <c r="B5" s="25" t="n">
        <v>46271</v>
      </c>
      <c r="C5" s="26" t="s">
        <v>15</v>
      </c>
      <c r="D5" s="26" t="s">
        <v>86</v>
      </c>
      <c r="E5" s="26" t="s">
        <v>22</v>
      </c>
      <c r="F5" s="27" t="n">
        <v>888.5</v>
      </c>
      <c r="G5" s="26" t="s">
        <v>87</v>
      </c>
      <c r="H5" s="26" t="s">
        <v>79</v>
      </c>
    </row>
    <row r="6" customFormat="false" ht="15" hidden="false" customHeight="false" outlineLevel="0" collapsed="false">
      <c r="A6" s="0" t="s">
        <v>88</v>
      </c>
      <c r="B6" s="25" t="n">
        <v>46271</v>
      </c>
      <c r="C6" s="26" t="s">
        <v>15</v>
      </c>
      <c r="D6" s="26" t="s">
        <v>89</v>
      </c>
      <c r="E6" s="26" t="s">
        <v>24</v>
      </c>
      <c r="F6" s="27" t="n">
        <v>15744</v>
      </c>
      <c r="G6" s="26" t="s">
        <v>78</v>
      </c>
      <c r="H6" s="26" t="s">
        <v>79</v>
      </c>
    </row>
    <row r="7" customFormat="false" ht="15" hidden="false" customHeight="false" outlineLevel="0" collapsed="false">
      <c r="A7" s="0" t="s">
        <v>90</v>
      </c>
      <c r="B7" s="25" t="n">
        <v>46272</v>
      </c>
      <c r="C7" s="26" t="s">
        <v>15</v>
      </c>
      <c r="D7" s="26" t="s">
        <v>91</v>
      </c>
      <c r="E7" s="26" t="s">
        <v>24</v>
      </c>
      <c r="F7" s="27" t="n">
        <v>9718.19</v>
      </c>
      <c r="G7" s="26" t="s">
        <v>78</v>
      </c>
      <c r="H7" s="26" t="s">
        <v>79</v>
      </c>
    </row>
    <row r="8" customFormat="false" ht="15" hidden="false" customHeight="false" outlineLevel="0" collapsed="false">
      <c r="A8" s="0" t="s">
        <v>92</v>
      </c>
      <c r="B8" s="25" t="n">
        <v>46272</v>
      </c>
      <c r="C8" s="26" t="s">
        <v>15</v>
      </c>
      <c r="D8" s="26" t="s">
        <v>93</v>
      </c>
      <c r="E8" s="26" t="s">
        <v>21</v>
      </c>
      <c r="F8" s="27" t="n">
        <v>1727.97</v>
      </c>
      <c r="G8" s="26" t="s">
        <v>94</v>
      </c>
      <c r="H8" s="26" t="s">
        <v>79</v>
      </c>
    </row>
    <row r="9" customFormat="false" ht="15" hidden="false" customHeight="false" outlineLevel="0" collapsed="false">
      <c r="A9" s="0" t="s">
        <v>95</v>
      </c>
      <c r="B9" s="25" t="n">
        <v>46272</v>
      </c>
      <c r="C9" s="26" t="s">
        <v>15</v>
      </c>
      <c r="D9" s="26" t="s">
        <v>96</v>
      </c>
      <c r="E9" s="26" t="s">
        <v>22</v>
      </c>
      <c r="F9" s="27" t="n">
        <v>635.96</v>
      </c>
      <c r="G9" s="26" t="s">
        <v>87</v>
      </c>
      <c r="H9" s="26" t="s">
        <v>79</v>
      </c>
    </row>
    <row r="10" customFormat="false" ht="15" hidden="false" customHeight="false" outlineLevel="0" collapsed="false">
      <c r="A10" s="0" t="s">
        <v>97</v>
      </c>
      <c r="B10" s="25" t="n">
        <v>46273</v>
      </c>
      <c r="C10" s="26" t="s">
        <v>15</v>
      </c>
      <c r="D10" s="26" t="s">
        <v>98</v>
      </c>
      <c r="E10" s="26" t="s">
        <v>24</v>
      </c>
      <c r="F10" s="27" t="n">
        <v>14693.71</v>
      </c>
      <c r="G10" s="26" t="s">
        <v>78</v>
      </c>
      <c r="H10" s="26" t="s">
        <v>79</v>
      </c>
    </row>
    <row r="11" customFormat="false" ht="15" hidden="false" customHeight="false" outlineLevel="0" collapsed="false">
      <c r="A11" s="0" t="s">
        <v>99</v>
      </c>
      <c r="B11" s="25" t="n">
        <v>46274</v>
      </c>
      <c r="C11" s="26" t="s">
        <v>15</v>
      </c>
      <c r="D11" s="26" t="s">
        <v>100</v>
      </c>
      <c r="E11" s="26" t="s">
        <v>22</v>
      </c>
      <c r="F11" s="27" t="n">
        <v>352.9</v>
      </c>
      <c r="G11" s="26" t="s">
        <v>87</v>
      </c>
      <c r="H11" s="26" t="s">
        <v>79</v>
      </c>
    </row>
    <row r="12" customFormat="false" ht="15" hidden="false" customHeight="false" outlineLevel="0" collapsed="false">
      <c r="A12" s="0" t="s">
        <v>101</v>
      </c>
      <c r="B12" s="25" t="n">
        <v>46275</v>
      </c>
      <c r="C12" s="26" t="s">
        <v>13</v>
      </c>
      <c r="D12" s="26" t="s">
        <v>102</v>
      </c>
      <c r="E12" s="26" t="s">
        <v>21</v>
      </c>
      <c r="F12" s="27" t="n">
        <v>1866.01</v>
      </c>
      <c r="G12" s="26" t="s">
        <v>94</v>
      </c>
      <c r="H12" s="26" t="s">
        <v>79</v>
      </c>
    </row>
    <row r="13" customFormat="false" ht="15" hidden="false" customHeight="false" outlineLevel="0" collapsed="false">
      <c r="A13" s="0" t="s">
        <v>103</v>
      </c>
      <c r="B13" s="25" t="n">
        <v>46276</v>
      </c>
      <c r="C13" s="26" t="s">
        <v>13</v>
      </c>
      <c r="D13" s="26" t="s">
        <v>104</v>
      </c>
      <c r="E13" s="26" t="s">
        <v>24</v>
      </c>
      <c r="F13" s="27" t="n">
        <v>18992.04</v>
      </c>
      <c r="G13" s="26" t="s">
        <v>78</v>
      </c>
      <c r="H13" s="26" t="s">
        <v>79</v>
      </c>
    </row>
    <row r="14" customFormat="false" ht="15" hidden="false" customHeight="false" outlineLevel="0" collapsed="false">
      <c r="A14" s="0" t="s">
        <v>105</v>
      </c>
      <c r="B14" s="25" t="n">
        <v>46276</v>
      </c>
      <c r="C14" s="26" t="s">
        <v>13</v>
      </c>
      <c r="D14" s="26" t="s">
        <v>106</v>
      </c>
      <c r="E14" s="26" t="s">
        <v>19</v>
      </c>
      <c r="F14" s="27" t="n">
        <v>20467.64</v>
      </c>
      <c r="G14" s="26" t="s">
        <v>107</v>
      </c>
      <c r="H14" s="26" t="s">
        <v>79</v>
      </c>
    </row>
    <row r="15" customFormat="false" ht="15" hidden="false" customHeight="false" outlineLevel="0" collapsed="false">
      <c r="A15" s="0" t="s">
        <v>108</v>
      </c>
      <c r="B15" s="25" t="n">
        <v>46276</v>
      </c>
      <c r="C15" s="26" t="s">
        <v>15</v>
      </c>
      <c r="D15" s="26" t="s">
        <v>109</v>
      </c>
      <c r="E15" s="26" t="s">
        <v>22</v>
      </c>
      <c r="F15" s="27" t="n">
        <v>889.42</v>
      </c>
      <c r="G15" s="26" t="s">
        <v>87</v>
      </c>
      <c r="H15" s="26" t="s">
        <v>79</v>
      </c>
    </row>
    <row r="16" customFormat="false" ht="15" hidden="false" customHeight="false" outlineLevel="0" collapsed="false">
      <c r="A16" s="0" t="s">
        <v>110</v>
      </c>
      <c r="B16" s="25" t="n">
        <v>46276</v>
      </c>
      <c r="C16" s="26" t="s">
        <v>15</v>
      </c>
      <c r="D16" s="26" t="s">
        <v>111</v>
      </c>
      <c r="E16" s="26" t="s">
        <v>24</v>
      </c>
      <c r="F16" s="27" t="n">
        <v>5269.25</v>
      </c>
      <c r="G16" s="26" t="s">
        <v>78</v>
      </c>
      <c r="H16" s="26" t="s">
        <v>79</v>
      </c>
    </row>
    <row r="17" customFormat="false" ht="15" hidden="false" customHeight="false" outlineLevel="0" collapsed="false">
      <c r="A17" s="0" t="s">
        <v>112</v>
      </c>
      <c r="B17" s="25" t="n">
        <v>46277</v>
      </c>
      <c r="C17" s="26" t="s">
        <v>15</v>
      </c>
      <c r="D17" s="26" t="s">
        <v>113</v>
      </c>
      <c r="E17" s="26" t="s">
        <v>21</v>
      </c>
      <c r="F17" s="27" t="n">
        <v>2592.94</v>
      </c>
      <c r="G17" s="26" t="s">
        <v>94</v>
      </c>
      <c r="H17" s="26" t="s">
        <v>79</v>
      </c>
    </row>
    <row r="18" customFormat="false" ht="15" hidden="false" customHeight="false" outlineLevel="0" collapsed="false">
      <c r="A18" s="0" t="s">
        <v>114</v>
      </c>
      <c r="B18" s="25" t="n">
        <v>46278</v>
      </c>
      <c r="C18" s="26" t="s">
        <v>15</v>
      </c>
      <c r="D18" s="26" t="s">
        <v>115</v>
      </c>
      <c r="E18" s="26" t="s">
        <v>23</v>
      </c>
      <c r="F18" s="27" t="n">
        <v>13860.2</v>
      </c>
      <c r="G18" s="26" t="s">
        <v>82</v>
      </c>
      <c r="H18" s="26" t="s">
        <v>79</v>
      </c>
    </row>
    <row r="19" customFormat="false" ht="15" hidden="false" customHeight="false" outlineLevel="0" collapsed="false">
      <c r="A19" s="0" t="s">
        <v>116</v>
      </c>
      <c r="B19" s="25" t="n">
        <v>46278</v>
      </c>
      <c r="C19" s="26" t="s">
        <v>15</v>
      </c>
      <c r="D19" s="26" t="s">
        <v>117</v>
      </c>
      <c r="E19" s="26" t="s">
        <v>23</v>
      </c>
      <c r="F19" s="27" t="n">
        <v>13273.4</v>
      </c>
      <c r="G19" s="26" t="s">
        <v>82</v>
      </c>
      <c r="H19" s="26" t="s">
        <v>79</v>
      </c>
    </row>
    <row r="20" customFormat="false" ht="15" hidden="false" customHeight="false" outlineLevel="0" collapsed="false">
      <c r="A20" s="0" t="s">
        <v>118</v>
      </c>
      <c r="B20" s="25" t="n">
        <v>46279</v>
      </c>
      <c r="C20" s="26" t="s">
        <v>15</v>
      </c>
      <c r="D20" s="26" t="s">
        <v>119</v>
      </c>
      <c r="E20" s="26" t="s">
        <v>21</v>
      </c>
      <c r="F20" s="27" t="n">
        <v>1385.08</v>
      </c>
      <c r="G20" s="26" t="s">
        <v>94</v>
      </c>
      <c r="H20" s="26" t="s">
        <v>79</v>
      </c>
    </row>
    <row r="21" customFormat="false" ht="15" hidden="false" customHeight="false" outlineLevel="0" collapsed="false">
      <c r="A21" s="0" t="s">
        <v>120</v>
      </c>
      <c r="B21" s="25" t="n">
        <v>46279</v>
      </c>
      <c r="C21" s="26" t="s">
        <v>15</v>
      </c>
      <c r="D21" s="26" t="s">
        <v>121</v>
      </c>
      <c r="E21" s="26" t="s">
        <v>24</v>
      </c>
      <c r="F21" s="27" t="n">
        <v>4159.91</v>
      </c>
      <c r="G21" s="26" t="s">
        <v>78</v>
      </c>
      <c r="H21" s="26" t="s">
        <v>79</v>
      </c>
    </row>
    <row r="22" customFormat="false" ht="15" hidden="false" customHeight="false" outlineLevel="0" collapsed="false">
      <c r="A22" s="0" t="s">
        <v>122</v>
      </c>
      <c r="B22" s="25" t="n">
        <v>46280</v>
      </c>
      <c r="C22" s="26" t="s">
        <v>15</v>
      </c>
      <c r="D22" s="26" t="s">
        <v>123</v>
      </c>
      <c r="E22" s="26" t="s">
        <v>21</v>
      </c>
      <c r="F22" s="27" t="n">
        <v>1419.52</v>
      </c>
      <c r="G22" s="26" t="s">
        <v>94</v>
      </c>
      <c r="H22" s="26" t="s">
        <v>79</v>
      </c>
    </row>
    <row r="23" customFormat="false" ht="15" hidden="false" customHeight="false" outlineLevel="0" collapsed="false">
      <c r="A23" s="0" t="s">
        <v>124</v>
      </c>
      <c r="B23" s="25" t="n">
        <v>46280</v>
      </c>
      <c r="C23" s="26" t="s">
        <v>15</v>
      </c>
      <c r="D23" s="26" t="s">
        <v>125</v>
      </c>
      <c r="E23" s="26" t="s">
        <v>22</v>
      </c>
      <c r="F23" s="27" t="n">
        <v>391.21</v>
      </c>
      <c r="G23" s="26" t="s">
        <v>87</v>
      </c>
      <c r="H23" s="26" t="s">
        <v>79</v>
      </c>
    </row>
    <row r="24" customFormat="false" ht="15" hidden="false" customHeight="false" outlineLevel="0" collapsed="false">
      <c r="A24" s="0" t="s">
        <v>126</v>
      </c>
      <c r="B24" s="25" t="n">
        <v>46280</v>
      </c>
      <c r="C24" s="26" t="s">
        <v>15</v>
      </c>
      <c r="D24" s="26" t="s">
        <v>127</v>
      </c>
      <c r="E24" s="26" t="s">
        <v>22</v>
      </c>
      <c r="F24" s="27" t="n">
        <v>721.8</v>
      </c>
      <c r="G24" s="26" t="s">
        <v>87</v>
      </c>
      <c r="H24" s="26" t="s">
        <v>79</v>
      </c>
    </row>
    <row r="25" customFormat="false" ht="15" hidden="false" customHeight="false" outlineLevel="0" collapsed="false">
      <c r="A25" s="0" t="s">
        <v>128</v>
      </c>
      <c r="B25" s="25" t="n">
        <v>46280</v>
      </c>
      <c r="C25" s="26" t="s">
        <v>15</v>
      </c>
      <c r="D25" s="26" t="s">
        <v>129</v>
      </c>
      <c r="E25" s="26" t="s">
        <v>21</v>
      </c>
      <c r="F25" s="27" t="n">
        <v>332.32</v>
      </c>
      <c r="G25" s="26" t="s">
        <v>94</v>
      </c>
      <c r="H25" s="26" t="s">
        <v>79</v>
      </c>
    </row>
    <row r="26" customFormat="false" ht="15" hidden="false" customHeight="false" outlineLevel="0" collapsed="false">
      <c r="A26" s="0" t="s">
        <v>130</v>
      </c>
      <c r="B26" s="25" t="n">
        <v>46280</v>
      </c>
      <c r="C26" s="26" t="s">
        <v>15</v>
      </c>
      <c r="D26" s="26" t="s">
        <v>131</v>
      </c>
      <c r="E26" s="26" t="s">
        <v>21</v>
      </c>
      <c r="F26" s="27" t="n">
        <v>2681.83</v>
      </c>
      <c r="G26" s="26" t="s">
        <v>94</v>
      </c>
      <c r="H26" s="26" t="s">
        <v>79</v>
      </c>
    </row>
    <row r="27" customFormat="false" ht="15" hidden="false" customHeight="false" outlineLevel="0" collapsed="false">
      <c r="A27" s="0" t="s">
        <v>132</v>
      </c>
      <c r="B27" s="25" t="n">
        <v>46281</v>
      </c>
      <c r="C27" s="26" t="s">
        <v>14</v>
      </c>
      <c r="D27" s="26" t="s">
        <v>133</v>
      </c>
      <c r="E27" s="26" t="s">
        <v>19</v>
      </c>
      <c r="F27" s="27" t="n">
        <v>29215.29</v>
      </c>
      <c r="G27" s="26" t="s">
        <v>107</v>
      </c>
      <c r="H27" s="26" t="s">
        <v>79</v>
      </c>
    </row>
    <row r="28" customFormat="false" ht="15" hidden="false" customHeight="false" outlineLevel="0" collapsed="false">
      <c r="A28" s="0" t="s">
        <v>134</v>
      </c>
      <c r="B28" s="25" t="n">
        <v>46281</v>
      </c>
      <c r="C28" s="26" t="s">
        <v>14</v>
      </c>
      <c r="D28" s="26" t="s">
        <v>135</v>
      </c>
      <c r="E28" s="26" t="s">
        <v>19</v>
      </c>
      <c r="F28" s="27" t="n">
        <v>30570.85</v>
      </c>
      <c r="G28" s="26" t="s">
        <v>107</v>
      </c>
      <c r="H28" s="26" t="s">
        <v>79</v>
      </c>
    </row>
    <row r="29" customFormat="false" ht="15" hidden="false" customHeight="false" outlineLevel="0" collapsed="false">
      <c r="A29" s="0" t="s">
        <v>136</v>
      </c>
      <c r="B29" s="25" t="n">
        <v>46281</v>
      </c>
      <c r="C29" s="26" t="s">
        <v>15</v>
      </c>
      <c r="D29" s="26" t="s">
        <v>137</v>
      </c>
      <c r="E29" s="26" t="s">
        <v>21</v>
      </c>
      <c r="F29" s="27" t="n">
        <v>2654.51</v>
      </c>
      <c r="G29" s="26" t="s">
        <v>94</v>
      </c>
      <c r="H29" s="26" t="s">
        <v>79</v>
      </c>
    </row>
    <row r="30" customFormat="false" ht="15" hidden="false" customHeight="false" outlineLevel="0" collapsed="false">
      <c r="A30" s="0" t="s">
        <v>138</v>
      </c>
      <c r="B30" s="25" t="n">
        <v>46281</v>
      </c>
      <c r="C30" s="26" t="s">
        <v>15</v>
      </c>
      <c r="D30" s="26" t="s">
        <v>139</v>
      </c>
      <c r="E30" s="26" t="s">
        <v>24</v>
      </c>
      <c r="F30" s="27" t="n">
        <v>1148.64</v>
      </c>
      <c r="G30" s="26" t="s">
        <v>78</v>
      </c>
      <c r="H30" s="26" t="s">
        <v>79</v>
      </c>
    </row>
    <row r="31" customFormat="false" ht="15" hidden="false" customHeight="false" outlineLevel="0" collapsed="false">
      <c r="A31" s="0" t="s">
        <v>140</v>
      </c>
      <c r="B31" s="25" t="n">
        <v>46282</v>
      </c>
      <c r="C31" s="26" t="s">
        <v>14</v>
      </c>
      <c r="D31" s="26" t="s">
        <v>141</v>
      </c>
      <c r="E31" s="26" t="s">
        <v>19</v>
      </c>
      <c r="F31" s="27" t="n">
        <v>6386.29</v>
      </c>
      <c r="G31" s="26" t="s">
        <v>107</v>
      </c>
      <c r="H31" s="26" t="s">
        <v>79</v>
      </c>
    </row>
    <row r="32" customFormat="false" ht="15" hidden="false" customHeight="false" outlineLevel="0" collapsed="false">
      <c r="A32" s="0" t="s">
        <v>142</v>
      </c>
      <c r="B32" s="25" t="n">
        <v>46282</v>
      </c>
      <c r="C32" s="26" t="s">
        <v>14</v>
      </c>
      <c r="D32" s="26" t="s">
        <v>143</v>
      </c>
      <c r="E32" s="26" t="s">
        <v>23</v>
      </c>
      <c r="F32" s="27" t="n">
        <v>15678.89</v>
      </c>
      <c r="G32" s="26" t="s">
        <v>82</v>
      </c>
      <c r="H32" s="26" t="s">
        <v>79</v>
      </c>
    </row>
    <row r="33" customFormat="false" ht="15" hidden="false" customHeight="false" outlineLevel="0" collapsed="false">
      <c r="A33" s="0" t="s">
        <v>144</v>
      </c>
      <c r="B33" s="25" t="n">
        <v>46282</v>
      </c>
      <c r="C33" s="26" t="s">
        <v>15</v>
      </c>
      <c r="D33" s="26" t="s">
        <v>145</v>
      </c>
      <c r="E33" s="26" t="s">
        <v>22</v>
      </c>
      <c r="F33" s="27" t="n">
        <v>936.79</v>
      </c>
      <c r="G33" s="26" t="s">
        <v>87</v>
      </c>
      <c r="H33" s="26" t="s">
        <v>79</v>
      </c>
    </row>
    <row r="34" customFormat="false" ht="15" hidden="false" customHeight="false" outlineLevel="0" collapsed="false">
      <c r="A34" s="0" t="s">
        <v>146</v>
      </c>
      <c r="B34" s="25" t="n">
        <v>46282</v>
      </c>
      <c r="C34" s="26" t="s">
        <v>15</v>
      </c>
      <c r="D34" s="26" t="s">
        <v>147</v>
      </c>
      <c r="E34" s="26" t="s">
        <v>23</v>
      </c>
      <c r="F34" s="27" t="n">
        <v>4106.83</v>
      </c>
      <c r="G34" s="26" t="s">
        <v>82</v>
      </c>
      <c r="H34" s="26" t="s">
        <v>79</v>
      </c>
    </row>
    <row r="35" customFormat="false" ht="15" hidden="false" customHeight="false" outlineLevel="0" collapsed="false">
      <c r="A35" s="0" t="s">
        <v>148</v>
      </c>
      <c r="B35" s="25" t="n">
        <v>46284</v>
      </c>
      <c r="C35" s="26" t="s">
        <v>13</v>
      </c>
      <c r="D35" s="26" t="s">
        <v>149</v>
      </c>
      <c r="E35" s="26" t="s">
        <v>23</v>
      </c>
      <c r="F35" s="27" t="n">
        <v>8986.83</v>
      </c>
      <c r="G35" s="26" t="s">
        <v>82</v>
      </c>
      <c r="H35" s="26" t="s">
        <v>79</v>
      </c>
    </row>
    <row r="36" customFormat="false" ht="15" hidden="false" customHeight="false" outlineLevel="0" collapsed="false">
      <c r="A36" s="0" t="s">
        <v>150</v>
      </c>
      <c r="B36" s="25" t="n">
        <v>46284</v>
      </c>
      <c r="C36" s="26" t="s">
        <v>14</v>
      </c>
      <c r="D36" s="26" t="s">
        <v>151</v>
      </c>
      <c r="E36" s="26" t="s">
        <v>21</v>
      </c>
      <c r="F36" s="27" t="n">
        <v>548.2</v>
      </c>
      <c r="G36" s="26" t="s">
        <v>94</v>
      </c>
      <c r="H36" s="26" t="s">
        <v>79</v>
      </c>
    </row>
    <row r="37" customFormat="false" ht="15" hidden="false" customHeight="false" outlineLevel="0" collapsed="false">
      <c r="A37" s="0" t="s">
        <v>152</v>
      </c>
      <c r="B37" s="25" t="n">
        <v>46284</v>
      </c>
      <c r="C37" s="26" t="s">
        <v>15</v>
      </c>
      <c r="D37" s="26" t="s">
        <v>153</v>
      </c>
      <c r="E37" s="26" t="s">
        <v>19</v>
      </c>
      <c r="F37" s="27" t="n">
        <v>29989.45</v>
      </c>
      <c r="G37" s="26" t="s">
        <v>107</v>
      </c>
      <c r="H37" s="26" t="s">
        <v>79</v>
      </c>
    </row>
    <row r="38" customFormat="false" ht="15" hidden="false" customHeight="false" outlineLevel="0" collapsed="false">
      <c r="A38" s="0" t="s">
        <v>154</v>
      </c>
      <c r="B38" s="25" t="n">
        <v>46284</v>
      </c>
      <c r="C38" s="26" t="s">
        <v>15</v>
      </c>
      <c r="D38" s="26" t="s">
        <v>155</v>
      </c>
      <c r="E38" s="26" t="s">
        <v>23</v>
      </c>
      <c r="F38" s="27" t="n">
        <v>26420.67</v>
      </c>
      <c r="G38" s="26" t="s">
        <v>82</v>
      </c>
      <c r="H38" s="26" t="s">
        <v>79</v>
      </c>
    </row>
    <row r="39" customFormat="false" ht="15" hidden="false" customHeight="false" outlineLevel="0" collapsed="false">
      <c r="A39" s="0" t="s">
        <v>156</v>
      </c>
      <c r="B39" s="25" t="n">
        <v>46285</v>
      </c>
      <c r="C39" s="26" t="s">
        <v>13</v>
      </c>
      <c r="D39" s="26" t="s">
        <v>157</v>
      </c>
      <c r="E39" s="26" t="s">
        <v>22</v>
      </c>
      <c r="F39" s="27" t="n">
        <v>311.73</v>
      </c>
      <c r="G39" s="26" t="s">
        <v>87</v>
      </c>
      <c r="H39" s="26" t="s">
        <v>79</v>
      </c>
    </row>
    <row r="40" customFormat="false" ht="15" hidden="false" customHeight="false" outlineLevel="0" collapsed="false">
      <c r="A40" s="0" t="s">
        <v>158</v>
      </c>
      <c r="B40" s="25" t="n">
        <v>46285</v>
      </c>
      <c r="C40" s="26" t="s">
        <v>14</v>
      </c>
      <c r="D40" s="26" t="s">
        <v>159</v>
      </c>
      <c r="E40" s="26" t="s">
        <v>24</v>
      </c>
      <c r="F40" s="27" t="n">
        <v>11188.1</v>
      </c>
      <c r="G40" s="26" t="s">
        <v>78</v>
      </c>
      <c r="H40" s="26" t="s">
        <v>79</v>
      </c>
    </row>
    <row r="41" customFormat="false" ht="15" hidden="false" customHeight="false" outlineLevel="0" collapsed="false">
      <c r="A41" s="0" t="s">
        <v>160</v>
      </c>
      <c r="B41" s="25" t="n">
        <v>46286</v>
      </c>
      <c r="C41" s="26" t="s">
        <v>15</v>
      </c>
      <c r="D41" s="26" t="s">
        <v>161</v>
      </c>
      <c r="E41" s="26" t="s">
        <v>23</v>
      </c>
      <c r="F41" s="27" t="n">
        <v>12785.47</v>
      </c>
      <c r="G41" s="26" t="s">
        <v>82</v>
      </c>
      <c r="H41" s="26" t="s">
        <v>79</v>
      </c>
    </row>
    <row r="42" customFormat="false" ht="15" hidden="false" customHeight="false" outlineLevel="0" collapsed="false">
      <c r="A42" s="0" t="s">
        <v>162</v>
      </c>
      <c r="B42" s="25" t="n">
        <v>46287</v>
      </c>
      <c r="C42" s="26" t="s">
        <v>13</v>
      </c>
      <c r="D42" s="26" t="s">
        <v>163</v>
      </c>
      <c r="E42" s="26" t="s">
        <v>19</v>
      </c>
      <c r="F42" s="27" t="n">
        <v>37171.86</v>
      </c>
      <c r="G42" s="26" t="s">
        <v>107</v>
      </c>
      <c r="H42" s="26" t="s">
        <v>79</v>
      </c>
    </row>
    <row r="43" customFormat="false" ht="15" hidden="false" customHeight="false" outlineLevel="0" collapsed="false">
      <c r="A43" s="0" t="s">
        <v>164</v>
      </c>
      <c r="B43" s="25" t="n">
        <v>46288</v>
      </c>
      <c r="C43" s="26" t="s">
        <v>13</v>
      </c>
      <c r="D43" s="26" t="s">
        <v>165</v>
      </c>
      <c r="E43" s="26" t="s">
        <v>22</v>
      </c>
      <c r="F43" s="27" t="n">
        <v>519.65</v>
      </c>
      <c r="G43" s="26" t="s">
        <v>87</v>
      </c>
      <c r="H43" s="26" t="s">
        <v>79</v>
      </c>
    </row>
    <row r="44" customFormat="false" ht="15" hidden="false" customHeight="false" outlineLevel="0" collapsed="false">
      <c r="A44" s="0" t="s">
        <v>166</v>
      </c>
      <c r="B44" s="25" t="n">
        <v>46288</v>
      </c>
      <c r="C44" s="26" t="s">
        <v>15</v>
      </c>
      <c r="D44" s="26" t="s">
        <v>167</v>
      </c>
      <c r="E44" s="26" t="s">
        <v>24</v>
      </c>
      <c r="F44" s="27" t="n">
        <v>6451.36</v>
      </c>
      <c r="G44" s="26" t="s">
        <v>78</v>
      </c>
      <c r="H44" s="26" t="s">
        <v>79</v>
      </c>
    </row>
    <row r="45" customFormat="false" ht="15" hidden="false" customHeight="false" outlineLevel="0" collapsed="false">
      <c r="A45" s="0" t="s">
        <v>168</v>
      </c>
      <c r="B45" s="25" t="n">
        <v>46290</v>
      </c>
      <c r="C45" s="26" t="s">
        <v>13</v>
      </c>
      <c r="D45" s="26" t="s">
        <v>169</v>
      </c>
      <c r="E45" s="26" t="s">
        <v>23</v>
      </c>
      <c r="F45" s="27" t="n">
        <v>19722.34</v>
      </c>
      <c r="G45" s="26" t="s">
        <v>82</v>
      </c>
      <c r="H45" s="26" t="s">
        <v>79</v>
      </c>
    </row>
    <row r="46" customFormat="false" ht="15" hidden="false" customHeight="false" outlineLevel="0" collapsed="false">
      <c r="A46" s="0" t="s">
        <v>170</v>
      </c>
      <c r="B46" s="25" t="n">
        <v>46291</v>
      </c>
      <c r="C46" s="26" t="s">
        <v>15</v>
      </c>
      <c r="D46" s="26" t="s">
        <v>171</v>
      </c>
      <c r="E46" s="26" t="s">
        <v>21</v>
      </c>
      <c r="F46" s="27" t="n">
        <v>1533.69</v>
      </c>
      <c r="G46" s="26" t="s">
        <v>94</v>
      </c>
      <c r="H46" s="26" t="s">
        <v>79</v>
      </c>
    </row>
    <row r="47" customFormat="false" ht="15" hidden="false" customHeight="false" outlineLevel="0" collapsed="false">
      <c r="A47" s="0" t="s">
        <v>172</v>
      </c>
      <c r="B47" s="25" t="n">
        <v>46292</v>
      </c>
      <c r="C47" s="26" t="s">
        <v>14</v>
      </c>
      <c r="D47" s="26" t="s">
        <v>173</v>
      </c>
      <c r="E47" s="26" t="s">
        <v>21</v>
      </c>
      <c r="F47" s="27" t="n">
        <v>2760.66</v>
      </c>
      <c r="G47" s="26" t="s">
        <v>94</v>
      </c>
      <c r="H47" s="26" t="s">
        <v>174</v>
      </c>
    </row>
    <row r="48" customFormat="false" ht="15" hidden="false" customHeight="false" outlineLevel="0" collapsed="false">
      <c r="A48" s="0" t="s">
        <v>175</v>
      </c>
      <c r="B48" s="25" t="n">
        <v>46292</v>
      </c>
      <c r="C48" s="26" t="s">
        <v>15</v>
      </c>
      <c r="D48" s="26" t="s">
        <v>176</v>
      </c>
      <c r="E48" s="26" t="s">
        <v>24</v>
      </c>
      <c r="F48" s="27" t="n">
        <v>16780.81</v>
      </c>
      <c r="G48" s="26" t="s">
        <v>78</v>
      </c>
      <c r="H48" s="26" t="s">
        <v>174</v>
      </c>
    </row>
    <row r="49" customFormat="false" ht="15" hidden="false" customHeight="false" outlineLevel="0" collapsed="false">
      <c r="A49" s="0" t="s">
        <v>177</v>
      </c>
      <c r="B49" s="25" t="n">
        <v>46293</v>
      </c>
      <c r="C49" s="26" t="s">
        <v>15</v>
      </c>
      <c r="D49" s="26" t="s">
        <v>178</v>
      </c>
      <c r="E49" s="26" t="s">
        <v>22</v>
      </c>
      <c r="F49" s="27" t="n">
        <v>325.13</v>
      </c>
      <c r="G49" s="26" t="s">
        <v>87</v>
      </c>
      <c r="H49" s="26" t="s">
        <v>79</v>
      </c>
    </row>
    <row r="50" customFormat="false" ht="15" hidden="false" customHeight="false" outlineLevel="0" collapsed="false">
      <c r="A50" s="0" t="s">
        <v>179</v>
      </c>
      <c r="B50" s="25" t="n">
        <v>46293</v>
      </c>
      <c r="C50" s="26" t="s">
        <v>15</v>
      </c>
      <c r="D50" s="26" t="s">
        <v>180</v>
      </c>
      <c r="E50" s="26" t="s">
        <v>21</v>
      </c>
      <c r="F50" s="27" t="n">
        <v>1666.44</v>
      </c>
      <c r="G50" s="26" t="s">
        <v>94</v>
      </c>
      <c r="H50" s="26" t="s">
        <v>174</v>
      </c>
    </row>
    <row r="51" customFormat="false" ht="15" hidden="false" customHeight="false" outlineLevel="0" collapsed="false">
      <c r="A51" s="0" t="s">
        <v>181</v>
      </c>
      <c r="B51" s="25" t="n">
        <v>46294</v>
      </c>
      <c r="C51" s="26" t="s">
        <v>15</v>
      </c>
      <c r="D51" s="26" t="s">
        <v>182</v>
      </c>
      <c r="E51" s="26" t="s">
        <v>22</v>
      </c>
      <c r="F51" s="27" t="n">
        <v>72.46</v>
      </c>
      <c r="G51" s="26" t="s">
        <v>87</v>
      </c>
      <c r="H51" s="26" t="s">
        <v>174</v>
      </c>
    </row>
    <row r="52" customFormat="false" ht="15" hidden="false" customHeight="false" outlineLevel="0" collapsed="false">
      <c r="A52" s="0" t="s">
        <v>183</v>
      </c>
      <c r="B52" s="25" t="n">
        <v>46294</v>
      </c>
      <c r="C52" s="26" t="s">
        <v>15</v>
      </c>
      <c r="D52" s="26" t="s">
        <v>184</v>
      </c>
      <c r="E52" s="26" t="s">
        <v>19</v>
      </c>
      <c r="F52" s="27" t="n">
        <v>15366.83</v>
      </c>
      <c r="G52" s="26" t="s">
        <v>107</v>
      </c>
      <c r="H52" s="26" t="s">
        <v>185</v>
      </c>
    </row>
    <row r="53" customFormat="false" ht="15" hidden="false" customHeight="false" outlineLevel="0" collapsed="false">
      <c r="A53" s="0" t="s">
        <v>186</v>
      </c>
      <c r="B53" s="25" t="n">
        <v>46295</v>
      </c>
      <c r="C53" s="26" t="s">
        <v>15</v>
      </c>
      <c r="D53" s="26" t="s">
        <v>187</v>
      </c>
      <c r="E53" s="26" t="s">
        <v>22</v>
      </c>
      <c r="F53" s="27" t="n">
        <v>1177.83</v>
      </c>
      <c r="G53" s="26" t="s">
        <v>87</v>
      </c>
      <c r="H53" s="26" t="s">
        <v>185</v>
      </c>
    </row>
    <row r="54" customFormat="false" ht="15" hidden="false" customHeight="false" outlineLevel="0" collapsed="false">
      <c r="A54" s="0" t="s">
        <v>188</v>
      </c>
      <c r="B54" s="25" t="n">
        <v>46295</v>
      </c>
      <c r="C54" s="26" t="s">
        <v>15</v>
      </c>
      <c r="D54" s="26" t="s">
        <v>189</v>
      </c>
      <c r="E54" s="26" t="s">
        <v>19</v>
      </c>
      <c r="F54" s="27" t="n">
        <v>18287.29</v>
      </c>
      <c r="G54" s="26" t="s">
        <v>107</v>
      </c>
      <c r="H54" s="26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5CE"/>
    <pageSetUpPr fitToPage="false"/>
  </sheetPr>
  <dimension ref="A1:D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</cols>
  <sheetData>
    <row r="1" customFormat="false" ht="15" hidden="false" customHeight="false" outlineLevel="0" collapsed="false">
      <c r="A1" s="24" t="s">
        <v>20</v>
      </c>
      <c r="B1" s="24" t="s">
        <v>11</v>
      </c>
      <c r="C1" s="24" t="s">
        <v>190</v>
      </c>
      <c r="D1" s="24" t="s">
        <v>191</v>
      </c>
    </row>
    <row r="2" customFormat="false" ht="15" hidden="false" customHeight="false" outlineLevel="0" collapsed="false">
      <c r="A2" s="25" t="n">
        <v>46266</v>
      </c>
      <c r="B2" s="26" t="s">
        <v>13</v>
      </c>
      <c r="C2" s="27" t="n">
        <v>6099950.62</v>
      </c>
      <c r="D2" s="27" t="n">
        <v>6096324.4</v>
      </c>
    </row>
    <row r="3" customFormat="false" ht="15" hidden="false" customHeight="false" outlineLevel="0" collapsed="false">
      <c r="A3" s="25" t="n">
        <v>46267</v>
      </c>
      <c r="B3" s="26" t="s">
        <v>13</v>
      </c>
      <c r="C3" s="27" t="n">
        <v>6552764.37</v>
      </c>
      <c r="D3" s="27" t="n">
        <v>6562722.1</v>
      </c>
    </row>
    <row r="4" customFormat="false" ht="15" hidden="false" customHeight="false" outlineLevel="0" collapsed="false">
      <c r="A4" s="25" t="n">
        <v>46268</v>
      </c>
      <c r="B4" s="26" t="s">
        <v>13</v>
      </c>
      <c r="C4" s="27" t="n">
        <v>6305944.51</v>
      </c>
      <c r="D4" s="27" t="n">
        <v>6293401.7</v>
      </c>
    </row>
    <row r="5" customFormat="false" ht="15" hidden="false" customHeight="false" outlineLevel="0" collapsed="false">
      <c r="A5" s="25" t="n">
        <v>46269</v>
      </c>
      <c r="B5" s="26" t="s">
        <v>13</v>
      </c>
      <c r="C5" s="27" t="n">
        <v>5733081.11</v>
      </c>
      <c r="D5" s="27" t="n">
        <v>5734263.69</v>
      </c>
    </row>
    <row r="6" customFormat="false" ht="15" hidden="false" customHeight="false" outlineLevel="0" collapsed="false">
      <c r="A6" s="25" t="n">
        <v>46270</v>
      </c>
      <c r="B6" s="26" t="s">
        <v>13</v>
      </c>
      <c r="C6" s="27" t="n">
        <v>6532952.07</v>
      </c>
      <c r="D6" s="27" t="n">
        <v>6528450.89</v>
      </c>
    </row>
    <row r="7" customFormat="false" ht="15" hidden="false" customHeight="false" outlineLevel="0" collapsed="false">
      <c r="A7" s="25" t="n">
        <v>46271</v>
      </c>
      <c r="B7" s="26" t="s">
        <v>13</v>
      </c>
      <c r="C7" s="27" t="n">
        <v>6843153.81</v>
      </c>
      <c r="D7" s="27" t="n">
        <v>6851590.8</v>
      </c>
    </row>
    <row r="8" customFormat="false" ht="15" hidden="false" customHeight="false" outlineLevel="0" collapsed="false">
      <c r="A8" s="25" t="n">
        <v>46272</v>
      </c>
      <c r="B8" s="26" t="s">
        <v>13</v>
      </c>
      <c r="C8" s="27" t="n">
        <v>7155610.32</v>
      </c>
      <c r="D8" s="27" t="n">
        <v>7163237.32</v>
      </c>
    </row>
    <row r="9" customFormat="false" ht="15" hidden="false" customHeight="false" outlineLevel="0" collapsed="false">
      <c r="A9" s="25" t="n">
        <v>46273</v>
      </c>
      <c r="B9" s="26" t="s">
        <v>13</v>
      </c>
      <c r="C9" s="27" t="n">
        <v>7885066.75</v>
      </c>
      <c r="D9" s="27" t="n">
        <v>7876047.57</v>
      </c>
    </row>
    <row r="10" customFormat="false" ht="15" hidden="false" customHeight="false" outlineLevel="0" collapsed="false">
      <c r="A10" s="25" t="n">
        <v>46274</v>
      </c>
      <c r="B10" s="26" t="s">
        <v>13</v>
      </c>
      <c r="C10" s="27" t="n">
        <v>7313598.77</v>
      </c>
      <c r="D10" s="27" t="n">
        <v>7303170.24</v>
      </c>
    </row>
    <row r="11" customFormat="false" ht="15" hidden="false" customHeight="false" outlineLevel="0" collapsed="false">
      <c r="A11" s="25" t="n">
        <v>46275</v>
      </c>
      <c r="B11" s="26" t="s">
        <v>13</v>
      </c>
      <c r="C11" s="27" t="n">
        <v>6890308.14</v>
      </c>
      <c r="D11" s="27" t="n">
        <v>6895391.9</v>
      </c>
    </row>
    <row r="12" customFormat="false" ht="15" hidden="false" customHeight="false" outlineLevel="0" collapsed="false">
      <c r="A12" s="25" t="n">
        <v>46276</v>
      </c>
      <c r="B12" s="26" t="s">
        <v>13</v>
      </c>
      <c r="C12" s="27" t="n">
        <v>7079865.55</v>
      </c>
      <c r="D12" s="27" t="n">
        <v>7071404.49</v>
      </c>
    </row>
    <row r="13" customFormat="false" ht="15" hidden="false" customHeight="false" outlineLevel="0" collapsed="false">
      <c r="A13" s="25" t="n">
        <v>46277</v>
      </c>
      <c r="B13" s="26" t="s">
        <v>13</v>
      </c>
      <c r="C13" s="27" t="n">
        <v>7459116.51</v>
      </c>
      <c r="D13" s="27" t="n">
        <v>7467123.45</v>
      </c>
    </row>
    <row r="14" customFormat="false" ht="15" hidden="false" customHeight="false" outlineLevel="0" collapsed="false">
      <c r="A14" s="25" t="n">
        <v>46278</v>
      </c>
      <c r="B14" s="26" t="s">
        <v>13</v>
      </c>
      <c r="C14" s="27" t="n">
        <v>7094021.31</v>
      </c>
      <c r="D14" s="27" t="n">
        <v>7097238.74</v>
      </c>
    </row>
    <row r="15" customFormat="false" ht="15" hidden="false" customHeight="false" outlineLevel="0" collapsed="false">
      <c r="A15" s="25" t="n">
        <v>46279</v>
      </c>
      <c r="B15" s="26" t="s">
        <v>13</v>
      </c>
      <c r="C15" s="27" t="n">
        <v>7541117.23</v>
      </c>
      <c r="D15" s="27" t="n">
        <v>7529553.21</v>
      </c>
    </row>
    <row r="16" customFormat="false" ht="15" hidden="false" customHeight="false" outlineLevel="0" collapsed="false">
      <c r="A16" s="25" t="n">
        <v>46280</v>
      </c>
      <c r="B16" s="26" t="s">
        <v>13</v>
      </c>
      <c r="C16" s="27" t="n">
        <v>8088138.87</v>
      </c>
      <c r="D16" s="27" t="n">
        <v>8102080.49</v>
      </c>
    </row>
    <row r="17" customFormat="false" ht="15" hidden="false" customHeight="false" outlineLevel="0" collapsed="false">
      <c r="A17" s="25" t="n">
        <v>46281</v>
      </c>
      <c r="B17" s="26" t="s">
        <v>13</v>
      </c>
      <c r="C17" s="27" t="n">
        <v>7639477.12</v>
      </c>
      <c r="D17" s="27" t="n">
        <v>7625247.47</v>
      </c>
    </row>
    <row r="18" customFormat="false" ht="15" hidden="false" customHeight="false" outlineLevel="0" collapsed="false">
      <c r="A18" s="25" t="n">
        <v>46282</v>
      </c>
      <c r="B18" s="26" t="s">
        <v>13</v>
      </c>
      <c r="C18" s="27" t="n">
        <v>7476217.26</v>
      </c>
      <c r="D18" s="27" t="n">
        <v>7481537.68</v>
      </c>
    </row>
    <row r="19" customFormat="false" ht="15" hidden="false" customHeight="false" outlineLevel="0" collapsed="false">
      <c r="A19" s="25" t="n">
        <v>46283</v>
      </c>
      <c r="B19" s="26" t="s">
        <v>13</v>
      </c>
      <c r="C19" s="27" t="n">
        <v>8217659.23</v>
      </c>
      <c r="D19" s="27" t="n">
        <v>8214558.87</v>
      </c>
    </row>
    <row r="20" customFormat="false" ht="15" hidden="false" customHeight="false" outlineLevel="0" collapsed="false">
      <c r="A20" s="25" t="n">
        <v>46284</v>
      </c>
      <c r="B20" s="26" t="s">
        <v>13</v>
      </c>
      <c r="C20" s="27" t="n">
        <v>8618679.82</v>
      </c>
      <c r="D20" s="27" t="n">
        <v>8605959.72</v>
      </c>
    </row>
    <row r="21" customFormat="false" ht="15" hidden="false" customHeight="false" outlineLevel="0" collapsed="false">
      <c r="A21" s="25" t="n">
        <v>46285</v>
      </c>
      <c r="B21" s="26" t="s">
        <v>13</v>
      </c>
      <c r="C21" s="27" t="n">
        <v>8985540</v>
      </c>
      <c r="D21" s="27" t="n">
        <v>8989357.28</v>
      </c>
    </row>
    <row r="22" customFormat="false" ht="15" hidden="false" customHeight="false" outlineLevel="0" collapsed="false">
      <c r="A22" s="25" t="n">
        <v>46286</v>
      </c>
      <c r="B22" s="26" t="s">
        <v>13</v>
      </c>
      <c r="C22" s="27" t="n">
        <v>8528201.83</v>
      </c>
      <c r="D22" s="27" t="n">
        <v>8536376.26</v>
      </c>
    </row>
    <row r="23" customFormat="false" ht="15" hidden="false" customHeight="false" outlineLevel="0" collapsed="false">
      <c r="A23" s="25" t="n">
        <v>46287</v>
      </c>
      <c r="B23" s="26" t="s">
        <v>13</v>
      </c>
      <c r="C23" s="27" t="n">
        <v>9118612.37</v>
      </c>
      <c r="D23" s="27" t="n">
        <v>9121624.71</v>
      </c>
    </row>
    <row r="24" customFormat="false" ht="15" hidden="false" customHeight="false" outlineLevel="0" collapsed="false">
      <c r="A24" s="25" t="n">
        <v>46288</v>
      </c>
      <c r="B24" s="26" t="s">
        <v>13</v>
      </c>
      <c r="C24" s="27" t="n">
        <v>8688089.46</v>
      </c>
      <c r="D24" s="27" t="n">
        <v>8702604.79</v>
      </c>
    </row>
    <row r="25" customFormat="false" ht="15" hidden="false" customHeight="false" outlineLevel="0" collapsed="false">
      <c r="A25" s="25" t="n">
        <v>46289</v>
      </c>
      <c r="B25" s="26" t="s">
        <v>13</v>
      </c>
      <c r="C25" s="27" t="n">
        <v>9183778.94</v>
      </c>
      <c r="D25" s="27" t="n">
        <v>9179195.06</v>
      </c>
    </row>
    <row r="26" customFormat="false" ht="15" hidden="false" customHeight="false" outlineLevel="0" collapsed="false">
      <c r="A26" s="25" t="n">
        <v>46290</v>
      </c>
      <c r="B26" s="26" t="s">
        <v>13</v>
      </c>
      <c r="C26" s="27" t="n">
        <v>9183508.16</v>
      </c>
      <c r="D26" s="27" t="n">
        <v>9179625.29</v>
      </c>
    </row>
    <row r="27" customFormat="false" ht="15" hidden="false" customHeight="false" outlineLevel="0" collapsed="false">
      <c r="A27" s="25" t="n">
        <v>46291</v>
      </c>
      <c r="B27" s="26" t="s">
        <v>13</v>
      </c>
      <c r="C27" s="27" t="n">
        <v>9291853.27</v>
      </c>
      <c r="D27" s="27" t="n">
        <v>9287090.2</v>
      </c>
    </row>
    <row r="28" customFormat="false" ht="15" hidden="false" customHeight="false" outlineLevel="0" collapsed="false">
      <c r="A28" s="25" t="n">
        <v>46292</v>
      </c>
      <c r="B28" s="26" t="s">
        <v>13</v>
      </c>
      <c r="C28" s="27" t="n">
        <v>9881259.14</v>
      </c>
      <c r="D28" s="27" t="n">
        <v>9890929.07</v>
      </c>
    </row>
    <row r="29" customFormat="false" ht="15" hidden="false" customHeight="false" outlineLevel="0" collapsed="false">
      <c r="A29" s="25" t="n">
        <v>46293</v>
      </c>
      <c r="B29" s="26" t="s">
        <v>13</v>
      </c>
      <c r="C29" s="27" t="n">
        <v>9429013.56</v>
      </c>
      <c r="D29" s="27" t="n">
        <v>9442837.19</v>
      </c>
    </row>
    <row r="30" customFormat="false" ht="15" hidden="false" customHeight="false" outlineLevel="0" collapsed="false">
      <c r="A30" s="25" t="n">
        <v>46294</v>
      </c>
      <c r="B30" s="26" t="s">
        <v>13</v>
      </c>
      <c r="C30" s="27" t="n">
        <v>9718832.71</v>
      </c>
      <c r="D30" s="27" t="n">
        <v>9728693.93</v>
      </c>
    </row>
    <row r="31" customFormat="false" ht="15" hidden="false" customHeight="false" outlineLevel="0" collapsed="false">
      <c r="A31" s="25" t="n">
        <v>46295</v>
      </c>
      <c r="B31" s="26" t="s">
        <v>13</v>
      </c>
      <c r="C31" s="27" t="n">
        <v>10109064.81</v>
      </c>
      <c r="D31" s="27" t="n">
        <v>10107129.43</v>
      </c>
    </row>
    <row r="32" customFormat="false" ht="15" hidden="false" customHeight="false" outlineLevel="0" collapsed="false">
      <c r="A32" s="25" t="n">
        <v>46266</v>
      </c>
      <c r="B32" s="26" t="s">
        <v>14</v>
      </c>
      <c r="C32" s="27" t="n">
        <v>8420639.74</v>
      </c>
      <c r="D32" s="27" t="n">
        <v>8413742.22</v>
      </c>
    </row>
    <row r="33" customFormat="false" ht="15" hidden="false" customHeight="false" outlineLevel="0" collapsed="false">
      <c r="A33" s="25" t="n">
        <v>46267</v>
      </c>
      <c r="B33" s="26" t="s">
        <v>14</v>
      </c>
      <c r="C33" s="27" t="n">
        <v>8952118.65</v>
      </c>
      <c r="D33" s="27" t="n">
        <v>8953263.84</v>
      </c>
    </row>
    <row r="34" customFormat="false" ht="15" hidden="false" customHeight="false" outlineLevel="0" collapsed="false">
      <c r="A34" s="25" t="n">
        <v>46268</v>
      </c>
      <c r="B34" s="26" t="s">
        <v>14</v>
      </c>
      <c r="C34" s="27" t="n">
        <v>9029015.16</v>
      </c>
      <c r="D34" s="27" t="n">
        <v>9027082.39</v>
      </c>
    </row>
    <row r="35" customFormat="false" ht="15" hidden="false" customHeight="false" outlineLevel="0" collapsed="false">
      <c r="A35" s="25" t="n">
        <v>46269</v>
      </c>
      <c r="B35" s="26" t="s">
        <v>14</v>
      </c>
      <c r="C35" s="27" t="n">
        <v>9452451.86</v>
      </c>
      <c r="D35" s="27" t="n">
        <v>9445503.72</v>
      </c>
    </row>
    <row r="36" customFormat="false" ht="15" hidden="false" customHeight="false" outlineLevel="0" collapsed="false">
      <c r="A36" s="25" t="n">
        <v>46270</v>
      </c>
      <c r="B36" s="26" t="s">
        <v>14</v>
      </c>
      <c r="C36" s="27" t="n">
        <v>10044850.28</v>
      </c>
      <c r="D36" s="27" t="n">
        <v>10054772.21</v>
      </c>
    </row>
    <row r="37" customFormat="false" ht="15" hidden="false" customHeight="false" outlineLevel="0" collapsed="false">
      <c r="A37" s="25" t="n">
        <v>46271</v>
      </c>
      <c r="B37" s="26" t="s">
        <v>14</v>
      </c>
      <c r="C37" s="27" t="n">
        <v>9566178.34</v>
      </c>
      <c r="D37" s="27" t="n">
        <v>9577627.27</v>
      </c>
    </row>
    <row r="38" customFormat="false" ht="15" hidden="false" customHeight="false" outlineLevel="0" collapsed="false">
      <c r="A38" s="25" t="n">
        <v>46272</v>
      </c>
      <c r="B38" s="26" t="s">
        <v>14</v>
      </c>
      <c r="C38" s="27" t="n">
        <v>9307587.15</v>
      </c>
      <c r="D38" s="27" t="n">
        <v>9306528.41</v>
      </c>
    </row>
    <row r="39" customFormat="false" ht="15" hidden="false" customHeight="false" outlineLevel="0" collapsed="false">
      <c r="A39" s="25" t="n">
        <v>46273</v>
      </c>
      <c r="B39" s="26" t="s">
        <v>14</v>
      </c>
      <c r="C39" s="27" t="n">
        <v>9562051.54</v>
      </c>
      <c r="D39" s="27" t="n">
        <v>9558421.22</v>
      </c>
    </row>
    <row r="40" customFormat="false" ht="15" hidden="false" customHeight="false" outlineLevel="0" collapsed="false">
      <c r="A40" s="25" t="n">
        <v>46274</v>
      </c>
      <c r="B40" s="26" t="s">
        <v>14</v>
      </c>
      <c r="C40" s="27" t="n">
        <v>9002231.53</v>
      </c>
      <c r="D40" s="27" t="n">
        <v>8922760.12</v>
      </c>
    </row>
    <row r="41" customFormat="false" ht="15" hidden="false" customHeight="false" outlineLevel="0" collapsed="false">
      <c r="A41" s="25" t="n">
        <v>46275</v>
      </c>
      <c r="B41" s="26" t="s">
        <v>14</v>
      </c>
      <c r="C41" s="27" t="n">
        <v>8656807.33</v>
      </c>
      <c r="D41" s="27" t="n">
        <v>8558170.93</v>
      </c>
    </row>
    <row r="42" customFormat="false" ht="15" hidden="false" customHeight="false" outlineLevel="0" collapsed="false">
      <c r="A42" s="25" t="n">
        <v>46276</v>
      </c>
      <c r="B42" s="26" t="s">
        <v>14</v>
      </c>
      <c r="C42" s="27" t="n">
        <v>9173772.63</v>
      </c>
      <c r="D42" s="27" t="n">
        <v>9168982.8</v>
      </c>
    </row>
    <row r="43" customFormat="false" ht="15" hidden="false" customHeight="false" outlineLevel="0" collapsed="false">
      <c r="A43" s="25" t="n">
        <v>46277</v>
      </c>
      <c r="B43" s="26" t="s">
        <v>14</v>
      </c>
      <c r="C43" s="27" t="n">
        <v>9806220.61</v>
      </c>
      <c r="D43" s="27" t="n">
        <v>9812256.12</v>
      </c>
    </row>
    <row r="44" customFormat="false" ht="15" hidden="false" customHeight="false" outlineLevel="0" collapsed="false">
      <c r="A44" s="25" t="n">
        <v>46278</v>
      </c>
      <c r="B44" s="26" t="s">
        <v>14</v>
      </c>
      <c r="C44" s="27" t="n">
        <v>9592996.61</v>
      </c>
      <c r="D44" s="27" t="n">
        <v>9578301.15</v>
      </c>
    </row>
    <row r="45" customFormat="false" ht="15" hidden="false" customHeight="false" outlineLevel="0" collapsed="false">
      <c r="A45" s="25" t="n">
        <v>46279</v>
      </c>
      <c r="B45" s="26" t="s">
        <v>14</v>
      </c>
      <c r="C45" s="27" t="n">
        <v>10320284.22</v>
      </c>
      <c r="D45" s="27" t="n">
        <v>10307852.61</v>
      </c>
    </row>
    <row r="46" customFormat="false" ht="15" hidden="false" customHeight="false" outlineLevel="0" collapsed="false">
      <c r="A46" s="25" t="n">
        <v>46280</v>
      </c>
      <c r="B46" s="26" t="s">
        <v>14</v>
      </c>
      <c r="C46" s="27" t="n">
        <v>10728388.75</v>
      </c>
      <c r="D46" s="27" t="n">
        <v>10728046.09</v>
      </c>
    </row>
    <row r="47" customFormat="false" ht="15" hidden="false" customHeight="false" outlineLevel="0" collapsed="false">
      <c r="A47" s="25" t="n">
        <v>46281</v>
      </c>
      <c r="B47" s="26" t="s">
        <v>14</v>
      </c>
      <c r="C47" s="27" t="n">
        <v>11189819.27</v>
      </c>
      <c r="D47" s="27" t="n">
        <v>11195537.55</v>
      </c>
    </row>
    <row r="48" customFormat="false" ht="15" hidden="false" customHeight="false" outlineLevel="0" collapsed="false">
      <c r="A48" s="25" t="n">
        <v>46282</v>
      </c>
      <c r="B48" s="26" t="s">
        <v>14</v>
      </c>
      <c r="C48" s="27" t="n">
        <v>11494083.33</v>
      </c>
      <c r="D48" s="27" t="n">
        <v>11493807.97</v>
      </c>
    </row>
    <row r="49" customFormat="false" ht="15" hidden="false" customHeight="false" outlineLevel="0" collapsed="false">
      <c r="A49" s="25" t="n">
        <v>46283</v>
      </c>
      <c r="B49" s="26" t="s">
        <v>14</v>
      </c>
      <c r="C49" s="27" t="n">
        <v>12004189.34</v>
      </c>
      <c r="D49" s="27" t="n">
        <v>11991980.94</v>
      </c>
    </row>
    <row r="50" customFormat="false" ht="15" hidden="false" customHeight="false" outlineLevel="0" collapsed="false">
      <c r="A50" s="25" t="n">
        <v>46284</v>
      </c>
      <c r="B50" s="26" t="s">
        <v>14</v>
      </c>
      <c r="C50" s="27" t="n">
        <v>11714424.3</v>
      </c>
      <c r="D50" s="27" t="n">
        <v>11720177.92</v>
      </c>
    </row>
    <row r="51" customFormat="false" ht="15" hidden="false" customHeight="false" outlineLevel="0" collapsed="false">
      <c r="A51" s="25" t="n">
        <v>46285</v>
      </c>
      <c r="B51" s="26" t="s">
        <v>14</v>
      </c>
      <c r="C51" s="27" t="n">
        <v>11543112.74</v>
      </c>
      <c r="D51" s="27" t="n">
        <v>11545559.41</v>
      </c>
    </row>
    <row r="52" customFormat="false" ht="15" hidden="false" customHeight="false" outlineLevel="0" collapsed="false">
      <c r="A52" s="25" t="n">
        <v>46286</v>
      </c>
      <c r="B52" s="26" t="s">
        <v>14</v>
      </c>
      <c r="C52" s="27" t="n">
        <v>11605677.43</v>
      </c>
      <c r="D52" s="27" t="n">
        <v>11606605.09</v>
      </c>
    </row>
    <row r="53" customFormat="false" ht="15" hidden="false" customHeight="false" outlineLevel="0" collapsed="false">
      <c r="A53" s="25" t="n">
        <v>46287</v>
      </c>
      <c r="B53" s="26" t="s">
        <v>14</v>
      </c>
      <c r="C53" s="27" t="n">
        <v>11601382.77</v>
      </c>
      <c r="D53" s="27" t="n">
        <v>11608760.83</v>
      </c>
    </row>
    <row r="54" customFormat="false" ht="15" hidden="false" customHeight="false" outlineLevel="0" collapsed="false">
      <c r="A54" s="25" t="n">
        <v>46288</v>
      </c>
      <c r="B54" s="26" t="s">
        <v>14</v>
      </c>
      <c r="C54" s="27" t="n">
        <v>11464490.58</v>
      </c>
      <c r="D54" s="27" t="n">
        <v>11470576.23</v>
      </c>
    </row>
    <row r="55" customFormat="false" ht="15" hidden="false" customHeight="false" outlineLevel="0" collapsed="false">
      <c r="A55" s="25" t="n">
        <v>46289</v>
      </c>
      <c r="B55" s="26" t="s">
        <v>14</v>
      </c>
      <c r="C55" s="27" t="n">
        <v>11243773.58</v>
      </c>
      <c r="D55" s="27" t="n">
        <v>11236315.69</v>
      </c>
    </row>
    <row r="56" customFormat="false" ht="15" hidden="false" customHeight="false" outlineLevel="0" collapsed="false">
      <c r="A56" s="25" t="n">
        <v>46290</v>
      </c>
      <c r="B56" s="26" t="s">
        <v>14</v>
      </c>
      <c r="C56" s="27" t="n">
        <v>10812691.82</v>
      </c>
      <c r="D56" s="27" t="n">
        <v>10803469.35</v>
      </c>
    </row>
    <row r="57" customFormat="false" ht="15" hidden="false" customHeight="false" outlineLevel="0" collapsed="false">
      <c r="A57" s="25" t="n">
        <v>46291</v>
      </c>
      <c r="B57" s="26" t="s">
        <v>14</v>
      </c>
      <c r="C57" s="27" t="n">
        <v>10380068.46</v>
      </c>
      <c r="D57" s="27" t="n">
        <v>10381144.37</v>
      </c>
    </row>
    <row r="58" customFormat="false" ht="15" hidden="false" customHeight="false" outlineLevel="0" collapsed="false">
      <c r="A58" s="25" t="n">
        <v>46292</v>
      </c>
      <c r="B58" s="26" t="s">
        <v>14</v>
      </c>
      <c r="C58" s="27" t="n">
        <v>10847133.91</v>
      </c>
      <c r="D58" s="27" t="n">
        <v>10837688.4</v>
      </c>
    </row>
    <row r="59" customFormat="false" ht="15" hidden="false" customHeight="false" outlineLevel="0" collapsed="false">
      <c r="A59" s="25" t="n">
        <v>46293</v>
      </c>
      <c r="B59" s="26" t="s">
        <v>14</v>
      </c>
      <c r="C59" s="27" t="n">
        <v>10550072.4</v>
      </c>
      <c r="D59" s="27" t="n">
        <v>10549598.36</v>
      </c>
    </row>
    <row r="60" customFormat="false" ht="15" hidden="false" customHeight="false" outlineLevel="0" collapsed="false">
      <c r="A60" s="25" t="n">
        <v>46294</v>
      </c>
      <c r="B60" s="26" t="s">
        <v>14</v>
      </c>
      <c r="C60" s="27" t="n">
        <v>10964491.41</v>
      </c>
      <c r="D60" s="27" t="n">
        <v>10978789.62</v>
      </c>
    </row>
    <row r="61" customFormat="false" ht="15" hidden="false" customHeight="false" outlineLevel="0" collapsed="false">
      <c r="A61" s="25" t="n">
        <v>46295</v>
      </c>
      <c r="B61" s="26" t="s">
        <v>14</v>
      </c>
      <c r="C61" s="27" t="n">
        <v>11098983.02</v>
      </c>
      <c r="D61" s="27" t="n">
        <v>11092472.98</v>
      </c>
    </row>
    <row r="62" customFormat="false" ht="15" hidden="false" customHeight="false" outlineLevel="0" collapsed="false">
      <c r="A62" s="25" t="n">
        <v>46266</v>
      </c>
      <c r="B62" s="26" t="s">
        <v>15</v>
      </c>
      <c r="C62" s="27" t="n">
        <v>4174395.15</v>
      </c>
      <c r="D62" s="27" t="n">
        <v>4166219.64</v>
      </c>
    </row>
    <row r="63" customFormat="false" ht="15" hidden="false" customHeight="false" outlineLevel="0" collapsed="false">
      <c r="A63" s="25" t="n">
        <v>46267</v>
      </c>
      <c r="B63" s="26" t="s">
        <v>15</v>
      </c>
      <c r="C63" s="27" t="n">
        <v>3825613.31</v>
      </c>
      <c r="D63" s="27" t="n">
        <v>3811037.76</v>
      </c>
    </row>
    <row r="64" customFormat="false" ht="15" hidden="false" customHeight="false" outlineLevel="0" collapsed="false">
      <c r="A64" s="25" t="n">
        <v>46268</v>
      </c>
      <c r="B64" s="26" t="s">
        <v>15</v>
      </c>
      <c r="C64" s="27" t="n">
        <v>3973402.44</v>
      </c>
      <c r="D64" s="27" t="n">
        <v>3966631.78</v>
      </c>
    </row>
    <row r="65" customFormat="false" ht="15" hidden="false" customHeight="false" outlineLevel="0" collapsed="false">
      <c r="A65" s="25" t="n">
        <v>46269</v>
      </c>
      <c r="B65" s="26" t="s">
        <v>15</v>
      </c>
      <c r="C65" s="27" t="n">
        <v>4737415.34</v>
      </c>
      <c r="D65" s="27" t="n">
        <v>4739016.11</v>
      </c>
    </row>
    <row r="66" customFormat="false" ht="15" hidden="false" customHeight="false" outlineLevel="0" collapsed="false">
      <c r="A66" s="25" t="n">
        <v>46270</v>
      </c>
      <c r="B66" s="26" t="s">
        <v>15</v>
      </c>
      <c r="C66" s="27" t="n">
        <v>5113799.69</v>
      </c>
      <c r="D66" s="27" t="n">
        <v>5102588.07</v>
      </c>
    </row>
    <row r="67" customFormat="false" ht="15" hidden="false" customHeight="false" outlineLevel="0" collapsed="false">
      <c r="A67" s="25" t="n">
        <v>46271</v>
      </c>
      <c r="B67" s="26" t="s">
        <v>15</v>
      </c>
      <c r="C67" s="27" t="n">
        <v>5729645.37</v>
      </c>
      <c r="D67" s="27" t="n">
        <v>5729371.73</v>
      </c>
    </row>
    <row r="68" customFormat="false" ht="15" hidden="false" customHeight="false" outlineLevel="0" collapsed="false">
      <c r="A68" s="25" t="n">
        <v>46272</v>
      </c>
      <c r="B68" s="26" t="s">
        <v>15</v>
      </c>
      <c r="C68" s="27" t="n">
        <v>6351452.99</v>
      </c>
      <c r="D68" s="27" t="n">
        <v>6353674.92</v>
      </c>
    </row>
    <row r="69" customFormat="false" ht="15" hidden="false" customHeight="false" outlineLevel="0" collapsed="false">
      <c r="A69" s="25" t="n">
        <v>46273</v>
      </c>
      <c r="B69" s="26" t="s">
        <v>15</v>
      </c>
      <c r="C69" s="27" t="n">
        <v>6408608.72</v>
      </c>
      <c r="D69" s="27" t="n">
        <v>6406822.78</v>
      </c>
    </row>
    <row r="70" customFormat="false" ht="15" hidden="false" customHeight="false" outlineLevel="0" collapsed="false">
      <c r="A70" s="25" t="n">
        <v>46274</v>
      </c>
      <c r="B70" s="26" t="s">
        <v>15</v>
      </c>
      <c r="C70" s="27" t="n">
        <v>6066717.86</v>
      </c>
      <c r="D70" s="27" t="n">
        <v>6053259.16</v>
      </c>
    </row>
    <row r="71" customFormat="false" ht="15" hidden="false" customHeight="false" outlineLevel="0" collapsed="false">
      <c r="A71" s="25" t="n">
        <v>46275</v>
      </c>
      <c r="B71" s="26" t="s">
        <v>15</v>
      </c>
      <c r="C71" s="27" t="n">
        <v>6784206.89</v>
      </c>
      <c r="D71" s="27" t="n">
        <v>6783538.77</v>
      </c>
    </row>
    <row r="72" customFormat="false" ht="15" hidden="false" customHeight="false" outlineLevel="0" collapsed="false">
      <c r="A72" s="25" t="n">
        <v>46276</v>
      </c>
      <c r="B72" s="26" t="s">
        <v>15</v>
      </c>
      <c r="C72" s="27" t="n">
        <v>7335168.8</v>
      </c>
      <c r="D72" s="27" t="n">
        <v>7332190.02</v>
      </c>
    </row>
    <row r="73" customFormat="false" ht="15" hidden="false" customHeight="false" outlineLevel="0" collapsed="false">
      <c r="A73" s="25" t="n">
        <v>46277</v>
      </c>
      <c r="B73" s="26" t="s">
        <v>15</v>
      </c>
      <c r="C73" s="27" t="n">
        <v>6838883.83</v>
      </c>
      <c r="D73" s="27" t="n">
        <v>6842767.2</v>
      </c>
    </row>
    <row r="74" customFormat="false" ht="15" hidden="false" customHeight="false" outlineLevel="0" collapsed="false">
      <c r="A74" s="25" t="n">
        <v>46278</v>
      </c>
      <c r="B74" s="26" t="s">
        <v>15</v>
      </c>
      <c r="C74" s="27" t="n">
        <v>6313936.54</v>
      </c>
      <c r="D74" s="27" t="n">
        <v>6303412.46</v>
      </c>
    </row>
    <row r="75" customFormat="false" ht="15" hidden="false" customHeight="false" outlineLevel="0" collapsed="false">
      <c r="A75" s="25" t="n">
        <v>46279</v>
      </c>
      <c r="B75" s="26" t="s">
        <v>15</v>
      </c>
      <c r="C75" s="27" t="n">
        <v>6501911.97</v>
      </c>
      <c r="D75" s="27" t="n">
        <v>6492527.04</v>
      </c>
    </row>
    <row r="76" customFormat="false" ht="15" hidden="false" customHeight="false" outlineLevel="0" collapsed="false">
      <c r="A76" s="25" t="n">
        <v>46280</v>
      </c>
      <c r="B76" s="26" t="s">
        <v>15</v>
      </c>
      <c r="C76" s="27" t="n">
        <v>7293397.35</v>
      </c>
      <c r="D76" s="27" t="n">
        <v>7274950.89</v>
      </c>
    </row>
    <row r="77" customFormat="false" ht="15" hidden="false" customHeight="false" outlineLevel="0" collapsed="false">
      <c r="A77" s="25" t="n">
        <v>46281</v>
      </c>
      <c r="B77" s="26" t="s">
        <v>15</v>
      </c>
      <c r="C77" s="27" t="n">
        <v>7763618.17</v>
      </c>
      <c r="D77" s="27" t="n">
        <v>7756307.7</v>
      </c>
    </row>
    <row r="78" customFormat="false" ht="15" hidden="false" customHeight="false" outlineLevel="0" collapsed="false">
      <c r="A78" s="25" t="n">
        <v>46282</v>
      </c>
      <c r="B78" s="26" t="s">
        <v>15</v>
      </c>
      <c r="C78" s="27" t="n">
        <v>8270655.33</v>
      </c>
      <c r="D78" s="27" t="n">
        <v>8248425.94</v>
      </c>
    </row>
    <row r="79" customFormat="false" ht="15" hidden="false" customHeight="false" outlineLevel="0" collapsed="false">
      <c r="A79" s="25" t="n">
        <v>46283</v>
      </c>
      <c r="B79" s="26" t="s">
        <v>15</v>
      </c>
      <c r="C79" s="27" t="n">
        <v>8402256.88</v>
      </c>
      <c r="D79" s="27" t="n">
        <v>8383272.31</v>
      </c>
    </row>
    <row r="80" customFormat="false" ht="15" hidden="false" customHeight="false" outlineLevel="0" collapsed="false">
      <c r="A80" s="25" t="n">
        <v>46284</v>
      </c>
      <c r="B80" s="26" t="s">
        <v>15</v>
      </c>
      <c r="C80" s="27" t="n">
        <v>8422066.29</v>
      </c>
      <c r="D80" s="27" t="n">
        <v>8411871.29</v>
      </c>
    </row>
    <row r="81" customFormat="false" ht="15" hidden="false" customHeight="false" outlineLevel="0" collapsed="false">
      <c r="A81" s="25" t="n">
        <v>46285</v>
      </c>
      <c r="B81" s="26" t="s">
        <v>15</v>
      </c>
      <c r="C81" s="27" t="n">
        <v>9208110.05</v>
      </c>
      <c r="D81" s="27" t="n">
        <v>9177771.46</v>
      </c>
    </row>
    <row r="82" customFormat="false" ht="15" hidden="false" customHeight="false" outlineLevel="0" collapsed="false">
      <c r="A82" s="25" t="n">
        <v>46286</v>
      </c>
      <c r="B82" s="26" t="s">
        <v>15</v>
      </c>
      <c r="C82" s="27" t="n">
        <v>9477548.3</v>
      </c>
      <c r="D82" s="27" t="n">
        <v>9452837.23</v>
      </c>
    </row>
    <row r="83" customFormat="false" ht="15" hidden="false" customHeight="false" outlineLevel="0" collapsed="false">
      <c r="A83" s="25" t="n">
        <v>46287</v>
      </c>
      <c r="B83" s="26" t="s">
        <v>15</v>
      </c>
      <c r="C83" s="27" t="n">
        <v>9913673.33</v>
      </c>
      <c r="D83" s="27" t="n">
        <v>9895601.03</v>
      </c>
    </row>
    <row r="84" customFormat="false" ht="15" hidden="false" customHeight="false" outlineLevel="0" collapsed="false">
      <c r="A84" s="25" t="n">
        <v>46288</v>
      </c>
      <c r="B84" s="26" t="s">
        <v>15</v>
      </c>
      <c r="C84" s="27" t="n">
        <v>9604576.4</v>
      </c>
      <c r="D84" s="27" t="n">
        <v>9560907.15</v>
      </c>
    </row>
    <row r="85" customFormat="false" ht="15" hidden="false" customHeight="false" outlineLevel="0" collapsed="false">
      <c r="A85" s="25" t="n">
        <v>46289</v>
      </c>
      <c r="B85" s="26" t="s">
        <v>15</v>
      </c>
      <c r="C85" s="27" t="n">
        <v>9929175.79</v>
      </c>
      <c r="D85" s="27" t="n">
        <v>9880387.5</v>
      </c>
    </row>
    <row r="86" customFormat="false" ht="15" hidden="false" customHeight="false" outlineLevel="0" collapsed="false">
      <c r="A86" s="25" t="n">
        <v>46290</v>
      </c>
      <c r="B86" s="26" t="s">
        <v>15</v>
      </c>
      <c r="C86" s="27" t="n">
        <v>9572514.75</v>
      </c>
      <c r="D86" s="27" t="n">
        <v>9517766.7</v>
      </c>
    </row>
    <row r="87" customFormat="false" ht="15" hidden="false" customHeight="false" outlineLevel="0" collapsed="false">
      <c r="A87" s="25" t="n">
        <v>46291</v>
      </c>
      <c r="B87" s="26" t="s">
        <v>15</v>
      </c>
      <c r="C87" s="27" t="n">
        <v>8976260.77</v>
      </c>
      <c r="D87" s="27" t="n">
        <v>8929275.88</v>
      </c>
    </row>
    <row r="88" customFormat="false" ht="15" hidden="false" customHeight="false" outlineLevel="0" collapsed="false">
      <c r="A88" s="25" t="n">
        <v>46292</v>
      </c>
      <c r="B88" s="26" t="s">
        <v>15</v>
      </c>
      <c r="C88" s="27" t="n">
        <v>9207596.44</v>
      </c>
      <c r="D88" s="27" t="n">
        <v>9152334.22</v>
      </c>
    </row>
    <row r="89" customFormat="false" ht="15" hidden="false" customHeight="false" outlineLevel="0" collapsed="false">
      <c r="A89" s="25" t="n">
        <v>46293</v>
      </c>
      <c r="B89" s="26" t="s">
        <v>15</v>
      </c>
      <c r="C89" s="27" t="n">
        <v>8931663.17</v>
      </c>
      <c r="D89" s="27" t="n">
        <v>8885371.84</v>
      </c>
    </row>
    <row r="90" customFormat="false" ht="15" hidden="false" customHeight="false" outlineLevel="0" collapsed="false">
      <c r="A90" s="25" t="n">
        <v>46294</v>
      </c>
      <c r="B90" s="26" t="s">
        <v>15</v>
      </c>
      <c r="C90" s="27" t="n">
        <v>9315845.75</v>
      </c>
      <c r="D90" s="27" t="n">
        <v>9258466.69</v>
      </c>
    </row>
    <row r="91" customFormat="false" ht="15" hidden="false" customHeight="false" outlineLevel="0" collapsed="false">
      <c r="A91" s="25" t="n">
        <v>46295</v>
      </c>
      <c r="B91" s="26" t="s">
        <v>15</v>
      </c>
      <c r="C91" s="27" t="n">
        <v>9678184.64</v>
      </c>
      <c r="D91" s="27" t="n">
        <v>9631401.97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5CE"/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</cols>
  <sheetData>
    <row r="1" customFormat="false" ht="15" hidden="false" customHeight="false" outlineLevel="0" collapsed="false">
      <c r="A1" s="24" t="s">
        <v>68</v>
      </c>
      <c r="B1" s="24" t="s">
        <v>11</v>
      </c>
      <c r="C1" s="24" t="s">
        <v>63</v>
      </c>
      <c r="D1" s="24" t="s">
        <v>18</v>
      </c>
      <c r="E1" s="24" t="s">
        <v>5</v>
      </c>
      <c r="F1" s="24" t="s">
        <v>192</v>
      </c>
      <c r="G1" s="24" t="s">
        <v>193</v>
      </c>
      <c r="H1" s="24" t="s">
        <v>59</v>
      </c>
      <c r="I1" s="24" t="s">
        <v>194</v>
      </c>
    </row>
    <row r="2" customFormat="false" ht="15" hidden="false" customHeight="false" outlineLevel="0" collapsed="false">
      <c r="A2" s="0" t="s">
        <v>71</v>
      </c>
      <c r="B2" s="0" t="s">
        <v>13</v>
      </c>
      <c r="C2" s="0" t="s">
        <v>64</v>
      </c>
      <c r="D2" s="0" t="s">
        <v>195</v>
      </c>
      <c r="E2" s="0" t="n">
        <v>1332</v>
      </c>
      <c r="F2" s="0" t="n">
        <v>1248</v>
      </c>
      <c r="G2" s="0" t="n">
        <v>84</v>
      </c>
      <c r="H2" s="27" t="n">
        <v>6018312.87</v>
      </c>
      <c r="I2" s="27" t="n">
        <v>132402.88</v>
      </c>
    </row>
    <row r="3" customFormat="false" ht="15" hidden="false" customHeight="false" outlineLevel="0" collapsed="false">
      <c r="A3" s="0" t="s">
        <v>71</v>
      </c>
      <c r="B3" s="0" t="s">
        <v>13</v>
      </c>
      <c r="C3" s="0" t="s">
        <v>64</v>
      </c>
      <c r="D3" s="0" t="s">
        <v>196</v>
      </c>
      <c r="E3" s="0" t="n">
        <v>273</v>
      </c>
      <c r="F3" s="0" t="n">
        <v>252</v>
      </c>
      <c r="G3" s="0" t="n">
        <v>21</v>
      </c>
      <c r="H3" s="27" t="n">
        <v>2954148.6</v>
      </c>
      <c r="I3" s="27" t="n">
        <v>35449.78</v>
      </c>
    </row>
    <row r="4" customFormat="false" ht="15" hidden="false" customHeight="false" outlineLevel="0" collapsed="false">
      <c r="A4" s="0" t="s">
        <v>71</v>
      </c>
      <c r="B4" s="0" t="s">
        <v>13</v>
      </c>
      <c r="C4" s="0" t="s">
        <v>66</v>
      </c>
      <c r="D4" s="0" t="s">
        <v>195</v>
      </c>
      <c r="E4" s="0" t="n">
        <v>778</v>
      </c>
      <c r="F4" s="0" t="n">
        <v>703</v>
      </c>
      <c r="G4" s="0" t="n">
        <v>75</v>
      </c>
      <c r="H4" s="27" t="n">
        <v>3622743.41</v>
      </c>
      <c r="I4" s="27" t="n">
        <v>79700.36</v>
      </c>
    </row>
    <row r="5" customFormat="false" ht="15" hidden="false" customHeight="false" outlineLevel="0" collapsed="false">
      <c r="A5" s="0" t="s">
        <v>71</v>
      </c>
      <c r="B5" s="0" t="s">
        <v>13</v>
      </c>
      <c r="C5" s="0" t="s">
        <v>66</v>
      </c>
      <c r="D5" s="0" t="s">
        <v>196</v>
      </c>
      <c r="E5" s="0" t="n">
        <v>138</v>
      </c>
      <c r="F5" s="0" t="n">
        <v>118</v>
      </c>
      <c r="G5" s="0" t="n">
        <v>20</v>
      </c>
      <c r="H5" s="27" t="n">
        <v>1243490.97</v>
      </c>
      <c r="I5" s="27" t="n">
        <v>14921.89</v>
      </c>
    </row>
    <row r="6" customFormat="false" ht="15" hidden="false" customHeight="false" outlineLevel="0" collapsed="false">
      <c r="A6" s="0" t="s">
        <v>71</v>
      </c>
      <c r="B6" s="0" t="s">
        <v>13</v>
      </c>
      <c r="C6" s="0" t="s">
        <v>65</v>
      </c>
      <c r="D6" s="0" t="s">
        <v>195</v>
      </c>
      <c r="E6" s="0" t="n">
        <v>529</v>
      </c>
      <c r="F6" s="0" t="n">
        <v>494</v>
      </c>
      <c r="G6" s="0" t="n">
        <v>35</v>
      </c>
      <c r="H6" s="27" t="n">
        <v>2014147.26</v>
      </c>
      <c r="I6" s="27" t="n">
        <v>44311.24</v>
      </c>
    </row>
    <row r="7" customFormat="false" ht="15" hidden="false" customHeight="false" outlineLevel="0" collapsed="false">
      <c r="A7" s="0" t="s">
        <v>71</v>
      </c>
      <c r="B7" s="0" t="s">
        <v>13</v>
      </c>
      <c r="C7" s="0" t="s">
        <v>65</v>
      </c>
      <c r="D7" s="0" t="s">
        <v>196</v>
      </c>
      <c r="E7" s="0" t="n">
        <v>93</v>
      </c>
      <c r="F7" s="0" t="n">
        <v>87</v>
      </c>
      <c r="G7" s="0" t="n">
        <v>6</v>
      </c>
      <c r="H7" s="27" t="n">
        <v>1087384.15</v>
      </c>
      <c r="I7" s="27" t="n">
        <v>13048.61</v>
      </c>
    </row>
    <row r="8" customFormat="false" ht="15" hidden="false" customHeight="false" outlineLevel="0" collapsed="false">
      <c r="A8" s="0" t="s">
        <v>71</v>
      </c>
      <c r="B8" s="0" t="s">
        <v>14</v>
      </c>
      <c r="C8" s="0" t="s">
        <v>64</v>
      </c>
      <c r="D8" s="0" t="s">
        <v>195</v>
      </c>
      <c r="E8" s="0" t="n">
        <v>914</v>
      </c>
      <c r="F8" s="0" t="n">
        <v>804</v>
      </c>
      <c r="G8" s="0" t="n">
        <v>110</v>
      </c>
      <c r="H8" s="27" t="n">
        <v>3608022.71</v>
      </c>
      <c r="I8" s="27" t="n">
        <v>101024.64</v>
      </c>
    </row>
    <row r="9" customFormat="false" ht="15" hidden="false" customHeight="false" outlineLevel="0" collapsed="false">
      <c r="A9" s="0" t="s">
        <v>71</v>
      </c>
      <c r="B9" s="0" t="s">
        <v>14</v>
      </c>
      <c r="C9" s="0" t="s">
        <v>64</v>
      </c>
      <c r="D9" s="0" t="s">
        <v>196</v>
      </c>
      <c r="E9" s="0" t="n">
        <v>153</v>
      </c>
      <c r="F9" s="0" t="n">
        <v>130</v>
      </c>
      <c r="G9" s="0" t="n">
        <v>23</v>
      </c>
      <c r="H9" s="27" t="n">
        <v>1450818.63</v>
      </c>
      <c r="I9" s="27" t="n">
        <v>21762.28</v>
      </c>
    </row>
    <row r="10" customFormat="false" ht="15" hidden="false" customHeight="false" outlineLevel="0" collapsed="false">
      <c r="A10" s="0" t="s">
        <v>71</v>
      </c>
      <c r="B10" s="0" t="s">
        <v>14</v>
      </c>
      <c r="C10" s="0" t="s">
        <v>66</v>
      </c>
      <c r="D10" s="0" t="s">
        <v>195</v>
      </c>
      <c r="E10" s="0" t="n">
        <v>486</v>
      </c>
      <c r="F10" s="0" t="n">
        <v>396</v>
      </c>
      <c r="G10" s="0" t="n">
        <v>90</v>
      </c>
      <c r="H10" s="27" t="n">
        <v>1458330.89</v>
      </c>
      <c r="I10" s="27" t="n">
        <v>40833.26</v>
      </c>
    </row>
    <row r="11" customFormat="false" ht="15" hidden="false" customHeight="false" outlineLevel="0" collapsed="false">
      <c r="A11" s="0" t="s">
        <v>71</v>
      </c>
      <c r="B11" s="0" t="s">
        <v>14</v>
      </c>
      <c r="C11" s="0" t="s">
        <v>66</v>
      </c>
      <c r="D11" s="0" t="s">
        <v>196</v>
      </c>
      <c r="E11" s="0" t="n">
        <v>110</v>
      </c>
      <c r="F11" s="0" t="n">
        <v>93</v>
      </c>
      <c r="G11" s="0" t="n">
        <v>17</v>
      </c>
      <c r="H11" s="27" t="n">
        <v>1104467.59</v>
      </c>
      <c r="I11" s="27" t="n">
        <v>16567.01</v>
      </c>
    </row>
    <row r="12" customFormat="false" ht="15" hidden="false" customHeight="false" outlineLevel="0" collapsed="false">
      <c r="A12" s="0" t="s">
        <v>71</v>
      </c>
      <c r="B12" s="0" t="s">
        <v>14</v>
      </c>
      <c r="C12" s="0" t="s">
        <v>65</v>
      </c>
      <c r="D12" s="0" t="s">
        <v>195</v>
      </c>
      <c r="E12" s="0" t="n">
        <v>366</v>
      </c>
      <c r="F12" s="0" t="n">
        <v>333</v>
      </c>
      <c r="G12" s="0" t="n">
        <v>33</v>
      </c>
      <c r="H12" s="27" t="n">
        <v>1613239.54</v>
      </c>
      <c r="I12" s="27" t="n">
        <v>45170.71</v>
      </c>
    </row>
    <row r="13" customFormat="false" ht="15" hidden="false" customHeight="false" outlineLevel="0" collapsed="false">
      <c r="A13" s="0" t="s">
        <v>71</v>
      </c>
      <c r="B13" s="0" t="s">
        <v>14</v>
      </c>
      <c r="C13" s="0" t="s">
        <v>65</v>
      </c>
      <c r="D13" s="0" t="s">
        <v>196</v>
      </c>
      <c r="E13" s="0" t="n">
        <v>64</v>
      </c>
      <c r="F13" s="0" t="n">
        <v>54</v>
      </c>
      <c r="G13" s="0" t="n">
        <v>10</v>
      </c>
      <c r="H13" s="27" t="n">
        <v>690192.58</v>
      </c>
      <c r="I13" s="27" t="n">
        <v>10352.89</v>
      </c>
    </row>
    <row r="14" customFormat="false" ht="15" hidden="false" customHeight="false" outlineLevel="0" collapsed="false">
      <c r="A14" s="0" t="s">
        <v>71</v>
      </c>
      <c r="B14" s="0" t="s">
        <v>15</v>
      </c>
      <c r="C14" s="0" t="s">
        <v>64</v>
      </c>
      <c r="D14" s="0" t="s">
        <v>195</v>
      </c>
      <c r="E14" s="0" t="n">
        <v>487</v>
      </c>
      <c r="F14" s="0" t="n">
        <v>398</v>
      </c>
      <c r="G14" s="0" t="n">
        <v>89</v>
      </c>
      <c r="H14" s="27" t="n">
        <v>2122193.94</v>
      </c>
      <c r="I14" s="27" t="n">
        <v>74276.79</v>
      </c>
    </row>
    <row r="15" customFormat="false" ht="15" hidden="false" customHeight="false" outlineLevel="0" collapsed="false">
      <c r="A15" s="0" t="s">
        <v>71</v>
      </c>
      <c r="B15" s="0" t="s">
        <v>15</v>
      </c>
      <c r="C15" s="0" t="s">
        <v>64</v>
      </c>
      <c r="D15" s="0" t="s">
        <v>196</v>
      </c>
      <c r="E15" s="0" t="n">
        <v>91</v>
      </c>
      <c r="F15" s="0" t="n">
        <v>74</v>
      </c>
      <c r="G15" s="0" t="n">
        <v>17</v>
      </c>
      <c r="H15" s="27" t="n">
        <v>900870.35</v>
      </c>
      <c r="I15" s="27" t="n">
        <v>18017.41</v>
      </c>
    </row>
    <row r="16" customFormat="false" ht="15" hidden="false" customHeight="false" outlineLevel="0" collapsed="false">
      <c r="A16" s="0" t="s">
        <v>71</v>
      </c>
      <c r="B16" s="0" t="s">
        <v>15</v>
      </c>
      <c r="C16" s="0" t="s">
        <v>66</v>
      </c>
      <c r="D16" s="0" t="s">
        <v>195</v>
      </c>
      <c r="E16" s="0" t="n">
        <v>293</v>
      </c>
      <c r="F16" s="0" t="n">
        <v>215</v>
      </c>
      <c r="G16" s="0" t="n">
        <v>78</v>
      </c>
      <c r="H16" s="27" t="n">
        <v>902123.25</v>
      </c>
      <c r="I16" s="27" t="n">
        <v>31574.31</v>
      </c>
    </row>
    <row r="17" customFormat="false" ht="15" hidden="false" customHeight="false" outlineLevel="0" collapsed="false">
      <c r="A17" s="0" t="s">
        <v>71</v>
      </c>
      <c r="B17" s="0" t="s">
        <v>15</v>
      </c>
      <c r="C17" s="0" t="s">
        <v>66</v>
      </c>
      <c r="D17" s="0" t="s">
        <v>196</v>
      </c>
      <c r="E17" s="0" t="n">
        <v>56</v>
      </c>
      <c r="F17" s="0" t="n">
        <v>43</v>
      </c>
      <c r="G17" s="0" t="n">
        <v>13</v>
      </c>
      <c r="H17" s="27" t="n">
        <v>571412.62</v>
      </c>
      <c r="I17" s="27" t="n">
        <v>11428.25</v>
      </c>
    </row>
    <row r="18" customFormat="false" ht="15" hidden="false" customHeight="false" outlineLevel="0" collapsed="false">
      <c r="A18" s="0" t="s">
        <v>71</v>
      </c>
      <c r="B18" s="0" t="s">
        <v>15</v>
      </c>
      <c r="C18" s="0" t="s">
        <v>65</v>
      </c>
      <c r="D18" s="0" t="s">
        <v>195</v>
      </c>
      <c r="E18" s="0" t="n">
        <v>189</v>
      </c>
      <c r="F18" s="0" t="n">
        <v>155</v>
      </c>
      <c r="G18" s="0" t="n">
        <v>34</v>
      </c>
      <c r="H18" s="27" t="n">
        <v>631847.52</v>
      </c>
      <c r="I18" s="27" t="n">
        <v>22114.66</v>
      </c>
    </row>
    <row r="19" customFormat="false" ht="15" hidden="false" customHeight="false" outlineLevel="0" collapsed="false">
      <c r="A19" s="0" t="s">
        <v>71</v>
      </c>
      <c r="B19" s="0" t="s">
        <v>15</v>
      </c>
      <c r="C19" s="0" t="s">
        <v>65</v>
      </c>
      <c r="D19" s="0" t="s">
        <v>196</v>
      </c>
      <c r="E19" s="0" t="n">
        <v>42</v>
      </c>
      <c r="F19" s="0" t="n">
        <v>34</v>
      </c>
      <c r="G19" s="0" t="n">
        <v>8</v>
      </c>
      <c r="H19" s="27" t="n">
        <v>399516.42</v>
      </c>
      <c r="I19" s="27" t="n">
        <v>7990.33</v>
      </c>
    </row>
    <row r="20" customFormat="false" ht="15" hidden="false" customHeight="false" outlineLevel="0" collapsed="false">
      <c r="A20" s="0" t="s">
        <v>72</v>
      </c>
      <c r="B20" s="0" t="s">
        <v>13</v>
      </c>
      <c r="C20" s="0" t="s">
        <v>64</v>
      </c>
      <c r="D20" s="0" t="s">
        <v>195</v>
      </c>
      <c r="E20" s="0" t="n">
        <v>1248</v>
      </c>
      <c r="F20" s="0" t="n">
        <v>1146</v>
      </c>
      <c r="G20" s="0" t="n">
        <v>102</v>
      </c>
      <c r="H20" s="27" t="n">
        <v>4751943.52</v>
      </c>
      <c r="I20" s="27" t="n">
        <v>104542.76</v>
      </c>
    </row>
    <row r="21" customFormat="false" ht="15" hidden="false" customHeight="false" outlineLevel="0" collapsed="false">
      <c r="A21" s="0" t="s">
        <v>72</v>
      </c>
      <c r="B21" s="0" t="s">
        <v>13</v>
      </c>
      <c r="C21" s="0" t="s">
        <v>64</v>
      </c>
      <c r="D21" s="0" t="s">
        <v>196</v>
      </c>
      <c r="E21" s="0" t="n">
        <v>275</v>
      </c>
      <c r="F21" s="0" t="n">
        <v>254</v>
      </c>
      <c r="G21" s="0" t="n">
        <v>21</v>
      </c>
      <c r="H21" s="27" t="n">
        <v>2939537.24</v>
      </c>
      <c r="I21" s="27" t="n">
        <v>35274.45</v>
      </c>
    </row>
    <row r="22" customFormat="false" ht="15" hidden="false" customHeight="false" outlineLevel="0" collapsed="false">
      <c r="A22" s="0" t="s">
        <v>72</v>
      </c>
      <c r="B22" s="0" t="s">
        <v>13</v>
      </c>
      <c r="C22" s="0" t="s">
        <v>66</v>
      </c>
      <c r="D22" s="0" t="s">
        <v>195</v>
      </c>
      <c r="E22" s="0" t="n">
        <v>829</v>
      </c>
      <c r="F22" s="0" t="n">
        <v>737</v>
      </c>
      <c r="G22" s="0" t="n">
        <v>92</v>
      </c>
      <c r="H22" s="27" t="n">
        <v>3379282.96</v>
      </c>
      <c r="I22" s="27" t="n">
        <v>74344.23</v>
      </c>
    </row>
    <row r="23" customFormat="false" ht="15" hidden="false" customHeight="false" outlineLevel="0" collapsed="false">
      <c r="A23" s="0" t="s">
        <v>72</v>
      </c>
      <c r="B23" s="0" t="s">
        <v>13</v>
      </c>
      <c r="C23" s="0" t="s">
        <v>66</v>
      </c>
      <c r="D23" s="0" t="s">
        <v>196</v>
      </c>
      <c r="E23" s="0" t="n">
        <v>148</v>
      </c>
      <c r="F23" s="0" t="n">
        <v>127</v>
      </c>
      <c r="G23" s="0" t="n">
        <v>21</v>
      </c>
      <c r="H23" s="27" t="n">
        <v>1372729.89</v>
      </c>
      <c r="I23" s="27" t="n">
        <v>16472.76</v>
      </c>
    </row>
    <row r="24" customFormat="false" ht="15" hidden="false" customHeight="false" outlineLevel="0" collapsed="false">
      <c r="A24" s="0" t="s">
        <v>72</v>
      </c>
      <c r="B24" s="0" t="s">
        <v>13</v>
      </c>
      <c r="C24" s="0" t="s">
        <v>65</v>
      </c>
      <c r="D24" s="0" t="s">
        <v>195</v>
      </c>
      <c r="E24" s="0" t="n">
        <v>529</v>
      </c>
      <c r="F24" s="0" t="n">
        <v>495</v>
      </c>
      <c r="G24" s="0" t="n">
        <v>34</v>
      </c>
      <c r="H24" s="27" t="n">
        <v>2484890.63</v>
      </c>
      <c r="I24" s="27" t="n">
        <v>54667.59</v>
      </c>
    </row>
    <row r="25" customFormat="false" ht="15" hidden="false" customHeight="false" outlineLevel="0" collapsed="false">
      <c r="A25" s="0" t="s">
        <v>72</v>
      </c>
      <c r="B25" s="0" t="s">
        <v>13</v>
      </c>
      <c r="C25" s="0" t="s">
        <v>65</v>
      </c>
      <c r="D25" s="0" t="s">
        <v>196</v>
      </c>
      <c r="E25" s="0" t="n">
        <v>94</v>
      </c>
      <c r="F25" s="0" t="n">
        <v>87</v>
      </c>
      <c r="G25" s="0" t="n">
        <v>7</v>
      </c>
      <c r="H25" s="27" t="n">
        <v>1186537.65</v>
      </c>
      <c r="I25" s="27" t="n">
        <v>14238.45</v>
      </c>
    </row>
    <row r="26" customFormat="false" ht="15" hidden="false" customHeight="false" outlineLevel="0" collapsed="false">
      <c r="A26" s="0" t="s">
        <v>72</v>
      </c>
      <c r="B26" s="0" t="s">
        <v>14</v>
      </c>
      <c r="C26" s="0" t="s">
        <v>64</v>
      </c>
      <c r="D26" s="0" t="s">
        <v>195</v>
      </c>
      <c r="E26" s="0" t="n">
        <v>829</v>
      </c>
      <c r="F26" s="0" t="n">
        <v>739</v>
      </c>
      <c r="G26" s="0" t="n">
        <v>90</v>
      </c>
      <c r="H26" s="27" t="n">
        <v>2765967.75</v>
      </c>
      <c r="I26" s="27" t="n">
        <v>77447.1</v>
      </c>
    </row>
    <row r="27" customFormat="false" ht="15" hidden="false" customHeight="false" outlineLevel="0" collapsed="false">
      <c r="A27" s="0" t="s">
        <v>72</v>
      </c>
      <c r="B27" s="0" t="s">
        <v>14</v>
      </c>
      <c r="C27" s="0" t="s">
        <v>64</v>
      </c>
      <c r="D27" s="0" t="s">
        <v>196</v>
      </c>
      <c r="E27" s="0" t="n">
        <v>183</v>
      </c>
      <c r="F27" s="0" t="n">
        <v>162</v>
      </c>
      <c r="G27" s="0" t="n">
        <v>21</v>
      </c>
      <c r="H27" s="27" t="n">
        <v>1651830.94</v>
      </c>
      <c r="I27" s="27" t="n">
        <v>24777.46</v>
      </c>
    </row>
    <row r="28" customFormat="false" ht="15" hidden="false" customHeight="false" outlineLevel="0" collapsed="false">
      <c r="A28" s="0" t="s">
        <v>72</v>
      </c>
      <c r="B28" s="0" t="s">
        <v>14</v>
      </c>
      <c r="C28" s="0" t="s">
        <v>66</v>
      </c>
      <c r="D28" s="0" t="s">
        <v>195</v>
      </c>
      <c r="E28" s="0" t="n">
        <v>469</v>
      </c>
      <c r="F28" s="0" t="n">
        <v>390</v>
      </c>
      <c r="G28" s="0" t="n">
        <v>79</v>
      </c>
      <c r="H28" s="27" t="n">
        <v>1795756.1</v>
      </c>
      <c r="I28" s="27" t="n">
        <v>50281.17</v>
      </c>
    </row>
    <row r="29" customFormat="false" ht="15" hidden="false" customHeight="false" outlineLevel="0" collapsed="false">
      <c r="A29" s="0" t="s">
        <v>72</v>
      </c>
      <c r="B29" s="0" t="s">
        <v>14</v>
      </c>
      <c r="C29" s="0" t="s">
        <v>66</v>
      </c>
      <c r="D29" s="0" t="s">
        <v>196</v>
      </c>
      <c r="E29" s="0" t="n">
        <v>92</v>
      </c>
      <c r="F29" s="0" t="n">
        <v>79</v>
      </c>
      <c r="G29" s="0" t="n">
        <v>13</v>
      </c>
      <c r="H29" s="27" t="n">
        <v>1071607.3</v>
      </c>
      <c r="I29" s="27" t="n">
        <v>16074.11</v>
      </c>
    </row>
    <row r="30" customFormat="false" ht="15" hidden="false" customHeight="false" outlineLevel="0" collapsed="false">
      <c r="A30" s="0" t="s">
        <v>72</v>
      </c>
      <c r="B30" s="0" t="s">
        <v>14</v>
      </c>
      <c r="C30" s="0" t="s">
        <v>65</v>
      </c>
      <c r="D30" s="0" t="s">
        <v>195</v>
      </c>
      <c r="E30" s="0" t="n">
        <v>333</v>
      </c>
      <c r="F30" s="0" t="n">
        <v>285</v>
      </c>
      <c r="G30" s="0" t="n">
        <v>48</v>
      </c>
      <c r="H30" s="27" t="n">
        <v>1471821.61</v>
      </c>
      <c r="I30" s="27" t="n">
        <v>41211.01</v>
      </c>
    </row>
    <row r="31" customFormat="false" ht="15" hidden="false" customHeight="false" outlineLevel="0" collapsed="false">
      <c r="A31" s="0" t="s">
        <v>72</v>
      </c>
      <c r="B31" s="0" t="s">
        <v>14</v>
      </c>
      <c r="C31" s="0" t="s">
        <v>65</v>
      </c>
      <c r="D31" s="0" t="s">
        <v>196</v>
      </c>
      <c r="E31" s="0" t="n">
        <v>67</v>
      </c>
      <c r="F31" s="0" t="n">
        <v>59</v>
      </c>
      <c r="G31" s="0" t="n">
        <v>8</v>
      </c>
      <c r="H31" s="27" t="n">
        <v>681117.24</v>
      </c>
      <c r="I31" s="27" t="n">
        <v>10216.76</v>
      </c>
    </row>
    <row r="32" customFormat="false" ht="15" hidden="false" customHeight="false" outlineLevel="0" collapsed="false">
      <c r="A32" s="0" t="s">
        <v>72</v>
      </c>
      <c r="B32" s="0" t="s">
        <v>15</v>
      </c>
      <c r="C32" s="0" t="s">
        <v>64</v>
      </c>
      <c r="D32" s="0" t="s">
        <v>195</v>
      </c>
      <c r="E32" s="0" t="n">
        <v>467</v>
      </c>
      <c r="F32" s="0" t="n">
        <v>387</v>
      </c>
      <c r="G32" s="0" t="n">
        <v>80</v>
      </c>
      <c r="H32" s="27" t="n">
        <v>2113209.35</v>
      </c>
      <c r="I32" s="27" t="n">
        <v>73962.33</v>
      </c>
    </row>
    <row r="33" customFormat="false" ht="15" hidden="false" customHeight="false" outlineLevel="0" collapsed="false">
      <c r="A33" s="0" t="s">
        <v>72</v>
      </c>
      <c r="B33" s="0" t="s">
        <v>15</v>
      </c>
      <c r="C33" s="0" t="s">
        <v>64</v>
      </c>
      <c r="D33" s="0" t="s">
        <v>196</v>
      </c>
      <c r="E33" s="0" t="n">
        <v>92</v>
      </c>
      <c r="F33" s="0" t="n">
        <v>74</v>
      </c>
      <c r="G33" s="0" t="n">
        <v>18</v>
      </c>
      <c r="H33" s="27" t="n">
        <v>807926.82</v>
      </c>
      <c r="I33" s="27" t="n">
        <v>16158.54</v>
      </c>
    </row>
    <row r="34" customFormat="false" ht="15" hidden="false" customHeight="false" outlineLevel="0" collapsed="false">
      <c r="A34" s="0" t="s">
        <v>72</v>
      </c>
      <c r="B34" s="0" t="s">
        <v>15</v>
      </c>
      <c r="C34" s="0" t="s">
        <v>66</v>
      </c>
      <c r="D34" s="0" t="s">
        <v>195</v>
      </c>
      <c r="E34" s="0" t="n">
        <v>318</v>
      </c>
      <c r="F34" s="0" t="n">
        <v>241</v>
      </c>
      <c r="G34" s="0" t="n">
        <v>77</v>
      </c>
      <c r="H34" s="27" t="n">
        <v>1267335.25</v>
      </c>
      <c r="I34" s="27" t="n">
        <v>44356.73</v>
      </c>
    </row>
    <row r="35" customFormat="false" ht="15" hidden="false" customHeight="false" outlineLevel="0" collapsed="false">
      <c r="A35" s="0" t="s">
        <v>72</v>
      </c>
      <c r="B35" s="0" t="s">
        <v>15</v>
      </c>
      <c r="C35" s="0" t="s">
        <v>66</v>
      </c>
      <c r="D35" s="0" t="s">
        <v>196</v>
      </c>
      <c r="E35" s="0" t="n">
        <v>63</v>
      </c>
      <c r="F35" s="0" t="n">
        <v>47</v>
      </c>
      <c r="G35" s="0" t="n">
        <v>16</v>
      </c>
      <c r="H35" s="27" t="n">
        <v>608651.45</v>
      </c>
      <c r="I35" s="27" t="n">
        <v>12173.03</v>
      </c>
    </row>
    <row r="36" customFormat="false" ht="15" hidden="false" customHeight="false" outlineLevel="0" collapsed="false">
      <c r="A36" s="0" t="s">
        <v>72</v>
      </c>
      <c r="B36" s="0" t="s">
        <v>15</v>
      </c>
      <c r="C36" s="0" t="s">
        <v>65</v>
      </c>
      <c r="D36" s="0" t="s">
        <v>195</v>
      </c>
      <c r="E36" s="0" t="n">
        <v>192</v>
      </c>
      <c r="F36" s="0" t="n">
        <v>160</v>
      </c>
      <c r="G36" s="0" t="n">
        <v>32</v>
      </c>
      <c r="H36" s="27" t="n">
        <v>722476.06</v>
      </c>
      <c r="I36" s="27" t="n">
        <v>25286.66</v>
      </c>
    </row>
    <row r="37" customFormat="false" ht="15" hidden="false" customHeight="false" outlineLevel="0" collapsed="false">
      <c r="A37" s="0" t="s">
        <v>72</v>
      </c>
      <c r="B37" s="0" t="s">
        <v>15</v>
      </c>
      <c r="C37" s="0" t="s">
        <v>65</v>
      </c>
      <c r="D37" s="0" t="s">
        <v>196</v>
      </c>
      <c r="E37" s="0" t="n">
        <v>41</v>
      </c>
      <c r="F37" s="0" t="n">
        <v>32</v>
      </c>
      <c r="G37" s="0" t="n">
        <v>9</v>
      </c>
      <c r="H37" s="27" t="n">
        <v>335768.94</v>
      </c>
      <c r="I37" s="27" t="n">
        <v>6715.38</v>
      </c>
    </row>
    <row r="38" customFormat="false" ht="15" hidden="false" customHeight="false" outlineLevel="0" collapsed="false">
      <c r="A38" s="0" t="s">
        <v>73</v>
      </c>
      <c r="B38" s="0" t="s">
        <v>13</v>
      </c>
      <c r="C38" s="0" t="s">
        <v>64</v>
      </c>
      <c r="D38" s="0" t="s">
        <v>195</v>
      </c>
      <c r="E38" s="0" t="n">
        <v>1281</v>
      </c>
      <c r="F38" s="0" t="n">
        <v>1229</v>
      </c>
      <c r="G38" s="0" t="n">
        <v>52</v>
      </c>
      <c r="H38" s="27" t="n">
        <v>5505035.97</v>
      </c>
      <c r="I38" s="27" t="n">
        <v>121110.79</v>
      </c>
    </row>
    <row r="39" customFormat="false" ht="15" hidden="false" customHeight="false" outlineLevel="0" collapsed="false">
      <c r="A39" s="0" t="s">
        <v>73</v>
      </c>
      <c r="B39" s="0" t="s">
        <v>13</v>
      </c>
      <c r="C39" s="0" t="s">
        <v>64</v>
      </c>
      <c r="D39" s="0" t="s">
        <v>196</v>
      </c>
      <c r="E39" s="0" t="n">
        <v>234</v>
      </c>
      <c r="F39" s="0" t="n">
        <v>218</v>
      </c>
      <c r="G39" s="0" t="n">
        <v>16</v>
      </c>
      <c r="H39" s="27" t="n">
        <v>2338185.1</v>
      </c>
      <c r="I39" s="27" t="n">
        <v>28058.22</v>
      </c>
    </row>
    <row r="40" customFormat="false" ht="15" hidden="false" customHeight="false" outlineLevel="0" collapsed="false">
      <c r="A40" s="0" t="s">
        <v>73</v>
      </c>
      <c r="B40" s="0" t="s">
        <v>13</v>
      </c>
      <c r="C40" s="0" t="s">
        <v>66</v>
      </c>
      <c r="D40" s="0" t="s">
        <v>195</v>
      </c>
      <c r="E40" s="0" t="n">
        <v>763</v>
      </c>
      <c r="F40" s="0" t="n">
        <v>673</v>
      </c>
      <c r="G40" s="0" t="n">
        <v>90</v>
      </c>
      <c r="H40" s="27" t="n">
        <v>2968393.85</v>
      </c>
      <c r="I40" s="27" t="n">
        <v>65304.66</v>
      </c>
    </row>
    <row r="41" customFormat="false" ht="15" hidden="false" customHeight="false" outlineLevel="0" collapsed="false">
      <c r="A41" s="0" t="s">
        <v>73</v>
      </c>
      <c r="B41" s="0" t="s">
        <v>13</v>
      </c>
      <c r="C41" s="0" t="s">
        <v>66</v>
      </c>
      <c r="D41" s="0" t="s">
        <v>196</v>
      </c>
      <c r="E41" s="0" t="n">
        <v>145</v>
      </c>
      <c r="F41" s="0" t="n">
        <v>124</v>
      </c>
      <c r="G41" s="0" t="n">
        <v>21</v>
      </c>
      <c r="H41" s="27" t="n">
        <v>1548449.03</v>
      </c>
      <c r="I41" s="27" t="n">
        <v>18581.39</v>
      </c>
    </row>
    <row r="42" customFormat="false" ht="15" hidden="false" customHeight="false" outlineLevel="0" collapsed="false">
      <c r="A42" s="0" t="s">
        <v>73</v>
      </c>
      <c r="B42" s="0" t="s">
        <v>13</v>
      </c>
      <c r="C42" s="0" t="s">
        <v>65</v>
      </c>
      <c r="D42" s="0" t="s">
        <v>195</v>
      </c>
      <c r="E42" s="0" t="n">
        <v>511</v>
      </c>
      <c r="F42" s="0" t="n">
        <v>467</v>
      </c>
      <c r="G42" s="0" t="n">
        <v>44</v>
      </c>
      <c r="H42" s="27" t="n">
        <v>2358858.54</v>
      </c>
      <c r="I42" s="27" t="n">
        <v>51894.89</v>
      </c>
    </row>
    <row r="43" customFormat="false" ht="15" hidden="false" customHeight="false" outlineLevel="0" collapsed="false">
      <c r="A43" s="0" t="s">
        <v>73</v>
      </c>
      <c r="B43" s="0" t="s">
        <v>13</v>
      </c>
      <c r="C43" s="0" t="s">
        <v>65</v>
      </c>
      <c r="D43" s="0" t="s">
        <v>196</v>
      </c>
      <c r="E43" s="0" t="n">
        <v>91</v>
      </c>
      <c r="F43" s="0" t="n">
        <v>85</v>
      </c>
      <c r="G43" s="0" t="n">
        <v>6</v>
      </c>
      <c r="H43" s="27" t="n">
        <v>1064721.85</v>
      </c>
      <c r="I43" s="27" t="n">
        <v>12776.66</v>
      </c>
    </row>
    <row r="44" customFormat="false" ht="15" hidden="false" customHeight="false" outlineLevel="0" collapsed="false">
      <c r="A44" s="0" t="s">
        <v>73</v>
      </c>
      <c r="B44" s="0" t="s">
        <v>14</v>
      </c>
      <c r="C44" s="0" t="s">
        <v>64</v>
      </c>
      <c r="D44" s="0" t="s">
        <v>195</v>
      </c>
      <c r="E44" s="0" t="n">
        <v>892</v>
      </c>
      <c r="F44" s="0" t="n">
        <v>778</v>
      </c>
      <c r="G44" s="0" t="n">
        <v>114</v>
      </c>
      <c r="H44" s="27" t="n">
        <v>3755699.82</v>
      </c>
      <c r="I44" s="27" t="n">
        <v>105159.59</v>
      </c>
    </row>
    <row r="45" customFormat="false" ht="15" hidden="false" customHeight="false" outlineLevel="0" collapsed="false">
      <c r="A45" s="0" t="s">
        <v>73</v>
      </c>
      <c r="B45" s="0" t="s">
        <v>14</v>
      </c>
      <c r="C45" s="0" t="s">
        <v>64</v>
      </c>
      <c r="D45" s="0" t="s">
        <v>196</v>
      </c>
      <c r="E45" s="0" t="n">
        <v>178</v>
      </c>
      <c r="F45" s="0" t="n">
        <v>161</v>
      </c>
      <c r="G45" s="0" t="n">
        <v>17</v>
      </c>
      <c r="H45" s="27" t="n">
        <v>1847739.56</v>
      </c>
      <c r="I45" s="27" t="n">
        <v>27716.09</v>
      </c>
    </row>
    <row r="46" customFormat="false" ht="15" hidden="false" customHeight="false" outlineLevel="0" collapsed="false">
      <c r="A46" s="0" t="s">
        <v>73</v>
      </c>
      <c r="B46" s="0" t="s">
        <v>14</v>
      </c>
      <c r="C46" s="0" t="s">
        <v>66</v>
      </c>
      <c r="D46" s="0" t="s">
        <v>195</v>
      </c>
      <c r="E46" s="0" t="n">
        <v>457</v>
      </c>
      <c r="F46" s="0" t="n">
        <v>379</v>
      </c>
      <c r="G46" s="0" t="n">
        <v>78</v>
      </c>
      <c r="H46" s="27" t="n">
        <v>1773856.77</v>
      </c>
      <c r="I46" s="27" t="n">
        <v>49667.99</v>
      </c>
    </row>
    <row r="47" customFormat="false" ht="15" hidden="false" customHeight="false" outlineLevel="0" collapsed="false">
      <c r="A47" s="0" t="s">
        <v>73</v>
      </c>
      <c r="B47" s="0" t="s">
        <v>14</v>
      </c>
      <c r="C47" s="0" t="s">
        <v>66</v>
      </c>
      <c r="D47" s="0" t="s">
        <v>196</v>
      </c>
      <c r="E47" s="0" t="n">
        <v>108</v>
      </c>
      <c r="F47" s="0" t="n">
        <v>92</v>
      </c>
      <c r="G47" s="0" t="n">
        <v>16</v>
      </c>
      <c r="H47" s="27" t="n">
        <v>1030540.86</v>
      </c>
      <c r="I47" s="27" t="n">
        <v>15458.11</v>
      </c>
    </row>
    <row r="48" customFormat="false" ht="15" hidden="false" customHeight="false" outlineLevel="0" collapsed="false">
      <c r="A48" s="0" t="s">
        <v>73</v>
      </c>
      <c r="B48" s="0" t="s">
        <v>14</v>
      </c>
      <c r="C48" s="0" t="s">
        <v>65</v>
      </c>
      <c r="D48" s="0" t="s">
        <v>195</v>
      </c>
      <c r="E48" s="0" t="n">
        <v>337</v>
      </c>
      <c r="F48" s="0" t="n">
        <v>295</v>
      </c>
      <c r="G48" s="0" t="n">
        <v>42</v>
      </c>
      <c r="H48" s="27" t="n">
        <v>1458741.86</v>
      </c>
      <c r="I48" s="27" t="n">
        <v>40844.77</v>
      </c>
    </row>
    <row r="49" customFormat="false" ht="15" hidden="false" customHeight="false" outlineLevel="0" collapsed="false">
      <c r="A49" s="0" t="s">
        <v>73</v>
      </c>
      <c r="B49" s="0" t="s">
        <v>14</v>
      </c>
      <c r="C49" s="0" t="s">
        <v>65</v>
      </c>
      <c r="D49" s="0" t="s">
        <v>196</v>
      </c>
      <c r="E49" s="0" t="n">
        <v>65</v>
      </c>
      <c r="F49" s="0" t="n">
        <v>57</v>
      </c>
      <c r="G49" s="0" t="n">
        <v>8</v>
      </c>
      <c r="H49" s="27" t="n">
        <v>556992.95</v>
      </c>
      <c r="I49" s="27" t="n">
        <v>8354.89</v>
      </c>
    </row>
    <row r="50" customFormat="false" ht="15" hidden="false" customHeight="false" outlineLevel="0" collapsed="false">
      <c r="A50" s="0" t="s">
        <v>73</v>
      </c>
      <c r="B50" s="0" t="s">
        <v>15</v>
      </c>
      <c r="C50" s="0" t="s">
        <v>64</v>
      </c>
      <c r="D50" s="0" t="s">
        <v>195</v>
      </c>
      <c r="E50" s="0" t="n">
        <v>487</v>
      </c>
      <c r="F50" s="0" t="n">
        <v>408</v>
      </c>
      <c r="G50" s="0" t="n">
        <v>79</v>
      </c>
      <c r="H50" s="27" t="n">
        <v>1704265.97</v>
      </c>
      <c r="I50" s="27" t="n">
        <v>59649.31</v>
      </c>
    </row>
    <row r="51" customFormat="false" ht="15" hidden="false" customHeight="false" outlineLevel="0" collapsed="false">
      <c r="A51" s="0" t="s">
        <v>73</v>
      </c>
      <c r="B51" s="0" t="s">
        <v>15</v>
      </c>
      <c r="C51" s="0" t="s">
        <v>64</v>
      </c>
      <c r="D51" s="0" t="s">
        <v>196</v>
      </c>
      <c r="E51" s="0" t="n">
        <v>101</v>
      </c>
      <c r="F51" s="0" t="n">
        <v>82</v>
      </c>
      <c r="G51" s="0" t="n">
        <v>19</v>
      </c>
      <c r="H51" s="27" t="n">
        <v>1087223.77</v>
      </c>
      <c r="I51" s="27" t="n">
        <v>21744.48</v>
      </c>
    </row>
    <row r="52" customFormat="false" ht="15" hidden="false" customHeight="false" outlineLevel="0" collapsed="false">
      <c r="A52" s="0" t="s">
        <v>73</v>
      </c>
      <c r="B52" s="0" t="s">
        <v>15</v>
      </c>
      <c r="C52" s="0" t="s">
        <v>66</v>
      </c>
      <c r="D52" s="0" t="s">
        <v>195</v>
      </c>
      <c r="E52" s="0" t="n">
        <v>314</v>
      </c>
      <c r="F52" s="0" t="n">
        <v>245</v>
      </c>
      <c r="G52" s="0" t="n">
        <v>69</v>
      </c>
      <c r="H52" s="27" t="n">
        <v>1043704.6</v>
      </c>
      <c r="I52" s="27" t="n">
        <v>36529.66</v>
      </c>
    </row>
    <row r="53" customFormat="false" ht="15" hidden="false" customHeight="false" outlineLevel="0" collapsed="false">
      <c r="A53" s="0" t="s">
        <v>73</v>
      </c>
      <c r="B53" s="0" t="s">
        <v>15</v>
      </c>
      <c r="C53" s="0" t="s">
        <v>66</v>
      </c>
      <c r="D53" s="0" t="s">
        <v>196</v>
      </c>
      <c r="E53" s="0" t="n">
        <v>56</v>
      </c>
      <c r="F53" s="0" t="n">
        <v>43</v>
      </c>
      <c r="G53" s="0" t="n">
        <v>13</v>
      </c>
      <c r="H53" s="27" t="n">
        <v>550271.39</v>
      </c>
      <c r="I53" s="27" t="n">
        <v>11005.43</v>
      </c>
    </row>
    <row r="54" customFormat="false" ht="15" hidden="false" customHeight="false" outlineLevel="0" collapsed="false">
      <c r="A54" s="0" t="s">
        <v>73</v>
      </c>
      <c r="B54" s="0" t="s">
        <v>15</v>
      </c>
      <c r="C54" s="0" t="s">
        <v>65</v>
      </c>
      <c r="D54" s="0" t="s">
        <v>195</v>
      </c>
      <c r="E54" s="0" t="n">
        <v>210</v>
      </c>
      <c r="F54" s="0" t="n">
        <v>164</v>
      </c>
      <c r="G54" s="0" t="n">
        <v>46</v>
      </c>
      <c r="H54" s="27" t="n">
        <v>596442.01</v>
      </c>
      <c r="I54" s="27" t="n">
        <v>20875.47</v>
      </c>
    </row>
    <row r="55" customFormat="false" ht="15" hidden="false" customHeight="false" outlineLevel="0" collapsed="false">
      <c r="A55" s="0" t="s">
        <v>73</v>
      </c>
      <c r="B55" s="0" t="s">
        <v>15</v>
      </c>
      <c r="C55" s="0" t="s">
        <v>65</v>
      </c>
      <c r="D55" s="0" t="s">
        <v>196</v>
      </c>
      <c r="E55" s="0" t="n">
        <v>40</v>
      </c>
      <c r="F55" s="0" t="n">
        <v>33</v>
      </c>
      <c r="G55" s="0" t="n">
        <v>7</v>
      </c>
      <c r="H55" s="27" t="n">
        <v>461575.28</v>
      </c>
      <c r="I55" s="27" t="n">
        <v>9231.51</v>
      </c>
    </row>
    <row r="56" customFormat="false" ht="15" hidden="false" customHeight="false" outlineLevel="0" collapsed="false">
      <c r="A56" s="0" t="s">
        <v>74</v>
      </c>
      <c r="B56" s="0" t="s">
        <v>13</v>
      </c>
      <c r="C56" s="0" t="s">
        <v>64</v>
      </c>
      <c r="D56" s="0" t="s">
        <v>195</v>
      </c>
      <c r="E56" s="0" t="n">
        <v>1322</v>
      </c>
      <c r="F56" s="0" t="n">
        <v>1224</v>
      </c>
      <c r="G56" s="0" t="n">
        <v>98</v>
      </c>
      <c r="H56" s="27" t="n">
        <v>4524988.77</v>
      </c>
      <c r="I56" s="27" t="n">
        <v>99549.75</v>
      </c>
    </row>
    <row r="57" customFormat="false" ht="15" hidden="false" customHeight="false" outlineLevel="0" collapsed="false">
      <c r="A57" s="0" t="s">
        <v>74</v>
      </c>
      <c r="B57" s="0" t="s">
        <v>13</v>
      </c>
      <c r="C57" s="0" t="s">
        <v>64</v>
      </c>
      <c r="D57" s="0" t="s">
        <v>196</v>
      </c>
      <c r="E57" s="0" t="n">
        <v>258</v>
      </c>
      <c r="F57" s="0" t="n">
        <v>245</v>
      </c>
      <c r="G57" s="0" t="n">
        <v>13</v>
      </c>
      <c r="H57" s="27" t="n">
        <v>2748506.23</v>
      </c>
      <c r="I57" s="27" t="n">
        <v>32982.07</v>
      </c>
    </row>
    <row r="58" customFormat="false" ht="15" hidden="false" customHeight="false" outlineLevel="0" collapsed="false">
      <c r="A58" s="0" t="s">
        <v>74</v>
      </c>
      <c r="B58" s="0" t="s">
        <v>13</v>
      </c>
      <c r="C58" s="0" t="s">
        <v>66</v>
      </c>
      <c r="D58" s="0" t="s">
        <v>195</v>
      </c>
      <c r="E58" s="0" t="n">
        <v>785</v>
      </c>
      <c r="F58" s="0" t="n">
        <v>709</v>
      </c>
      <c r="G58" s="0" t="n">
        <v>76</v>
      </c>
      <c r="H58" s="27" t="n">
        <v>2546715.19</v>
      </c>
      <c r="I58" s="27" t="n">
        <v>56027.73</v>
      </c>
    </row>
    <row r="59" customFormat="false" ht="15" hidden="false" customHeight="false" outlineLevel="0" collapsed="false">
      <c r="A59" s="0" t="s">
        <v>74</v>
      </c>
      <c r="B59" s="0" t="s">
        <v>13</v>
      </c>
      <c r="C59" s="0" t="s">
        <v>66</v>
      </c>
      <c r="D59" s="0" t="s">
        <v>196</v>
      </c>
      <c r="E59" s="0" t="n">
        <v>160</v>
      </c>
      <c r="F59" s="0" t="n">
        <v>138</v>
      </c>
      <c r="G59" s="0" t="n">
        <v>22</v>
      </c>
      <c r="H59" s="27" t="n">
        <v>1500640.35</v>
      </c>
      <c r="I59" s="27" t="n">
        <v>18007.68</v>
      </c>
    </row>
    <row r="60" customFormat="false" ht="15" hidden="false" customHeight="false" outlineLevel="0" collapsed="false">
      <c r="A60" s="0" t="s">
        <v>74</v>
      </c>
      <c r="B60" s="0" t="s">
        <v>13</v>
      </c>
      <c r="C60" s="0" t="s">
        <v>65</v>
      </c>
      <c r="D60" s="0" t="s">
        <v>195</v>
      </c>
      <c r="E60" s="0" t="n">
        <v>468</v>
      </c>
      <c r="F60" s="0" t="n">
        <v>436</v>
      </c>
      <c r="G60" s="0" t="n">
        <v>32</v>
      </c>
      <c r="H60" s="27" t="n">
        <v>2019489.27</v>
      </c>
      <c r="I60" s="27" t="n">
        <v>44428.76</v>
      </c>
    </row>
    <row r="61" customFormat="false" ht="15" hidden="false" customHeight="false" outlineLevel="0" collapsed="false">
      <c r="A61" s="0" t="s">
        <v>74</v>
      </c>
      <c r="B61" s="0" t="s">
        <v>13</v>
      </c>
      <c r="C61" s="0" t="s">
        <v>65</v>
      </c>
      <c r="D61" s="0" t="s">
        <v>196</v>
      </c>
      <c r="E61" s="0" t="n">
        <v>106</v>
      </c>
      <c r="F61" s="0" t="n">
        <v>96</v>
      </c>
      <c r="G61" s="0" t="n">
        <v>10</v>
      </c>
      <c r="H61" s="27" t="n">
        <v>901904.81</v>
      </c>
      <c r="I61" s="27" t="n">
        <v>10822.86</v>
      </c>
    </row>
    <row r="62" customFormat="false" ht="15" hidden="false" customHeight="false" outlineLevel="0" collapsed="false">
      <c r="A62" s="0" t="s">
        <v>74</v>
      </c>
      <c r="B62" s="0" t="s">
        <v>14</v>
      </c>
      <c r="C62" s="0" t="s">
        <v>64</v>
      </c>
      <c r="D62" s="0" t="s">
        <v>195</v>
      </c>
      <c r="E62" s="0" t="n">
        <v>902</v>
      </c>
      <c r="F62" s="0" t="n">
        <v>800</v>
      </c>
      <c r="G62" s="0" t="n">
        <v>102</v>
      </c>
      <c r="H62" s="27" t="n">
        <v>3185327.67</v>
      </c>
      <c r="I62" s="27" t="n">
        <v>89189.17</v>
      </c>
    </row>
    <row r="63" customFormat="false" ht="15" hidden="false" customHeight="false" outlineLevel="0" collapsed="false">
      <c r="A63" s="0" t="s">
        <v>74</v>
      </c>
      <c r="B63" s="0" t="s">
        <v>14</v>
      </c>
      <c r="C63" s="0" t="s">
        <v>64</v>
      </c>
      <c r="D63" s="0" t="s">
        <v>196</v>
      </c>
      <c r="E63" s="0" t="n">
        <v>181</v>
      </c>
      <c r="F63" s="0" t="n">
        <v>155</v>
      </c>
      <c r="G63" s="0" t="n">
        <v>26</v>
      </c>
      <c r="H63" s="27" t="n">
        <v>1752391.18</v>
      </c>
      <c r="I63" s="27" t="n">
        <v>26285.87</v>
      </c>
    </row>
    <row r="64" customFormat="false" ht="15" hidden="false" customHeight="false" outlineLevel="0" collapsed="false">
      <c r="A64" s="0" t="s">
        <v>74</v>
      </c>
      <c r="B64" s="0" t="s">
        <v>14</v>
      </c>
      <c r="C64" s="0" t="s">
        <v>66</v>
      </c>
      <c r="D64" s="0" t="s">
        <v>195</v>
      </c>
      <c r="E64" s="0" t="n">
        <v>479</v>
      </c>
      <c r="F64" s="0" t="n">
        <v>390</v>
      </c>
      <c r="G64" s="0" t="n">
        <v>89</v>
      </c>
      <c r="H64" s="27" t="n">
        <v>1372330</v>
      </c>
      <c r="I64" s="27" t="n">
        <v>38425.24</v>
      </c>
    </row>
    <row r="65" customFormat="false" ht="15" hidden="false" customHeight="false" outlineLevel="0" collapsed="false">
      <c r="A65" s="0" t="s">
        <v>74</v>
      </c>
      <c r="B65" s="0" t="s">
        <v>14</v>
      </c>
      <c r="C65" s="0" t="s">
        <v>66</v>
      </c>
      <c r="D65" s="0" t="s">
        <v>196</v>
      </c>
      <c r="E65" s="0" t="n">
        <v>106</v>
      </c>
      <c r="F65" s="0" t="n">
        <v>90</v>
      </c>
      <c r="G65" s="0" t="n">
        <v>16</v>
      </c>
      <c r="H65" s="27" t="n">
        <v>1114924.9</v>
      </c>
      <c r="I65" s="27" t="n">
        <v>16723.87</v>
      </c>
    </row>
    <row r="66" customFormat="false" ht="15" hidden="false" customHeight="false" outlineLevel="0" collapsed="false">
      <c r="A66" s="0" t="s">
        <v>74</v>
      </c>
      <c r="B66" s="0" t="s">
        <v>14</v>
      </c>
      <c r="C66" s="0" t="s">
        <v>65</v>
      </c>
      <c r="D66" s="0" t="s">
        <v>195</v>
      </c>
      <c r="E66" s="0" t="n">
        <v>313</v>
      </c>
      <c r="F66" s="0" t="n">
        <v>274</v>
      </c>
      <c r="G66" s="0" t="n">
        <v>39</v>
      </c>
      <c r="H66" s="27" t="n">
        <v>1148369.96</v>
      </c>
      <c r="I66" s="27" t="n">
        <v>32154.36</v>
      </c>
    </row>
    <row r="67" customFormat="false" ht="15" hidden="false" customHeight="false" outlineLevel="0" collapsed="false">
      <c r="A67" s="0" t="s">
        <v>74</v>
      </c>
      <c r="B67" s="0" t="s">
        <v>14</v>
      </c>
      <c r="C67" s="0" t="s">
        <v>65</v>
      </c>
      <c r="D67" s="0" t="s">
        <v>196</v>
      </c>
      <c r="E67" s="0" t="n">
        <v>68</v>
      </c>
      <c r="F67" s="0" t="n">
        <v>60</v>
      </c>
      <c r="G67" s="0" t="n">
        <v>8</v>
      </c>
      <c r="H67" s="27" t="n">
        <v>667292.68</v>
      </c>
      <c r="I67" s="27" t="n">
        <v>10009.39</v>
      </c>
    </row>
    <row r="68" customFormat="false" ht="15" hidden="false" customHeight="false" outlineLevel="0" collapsed="false">
      <c r="A68" s="0" t="s">
        <v>74</v>
      </c>
      <c r="B68" s="0" t="s">
        <v>15</v>
      </c>
      <c r="C68" s="0" t="s">
        <v>64</v>
      </c>
      <c r="D68" s="0" t="s">
        <v>195</v>
      </c>
      <c r="E68" s="0" t="n">
        <v>465</v>
      </c>
      <c r="F68" s="0" t="n">
        <v>386</v>
      </c>
      <c r="G68" s="0" t="n">
        <v>79</v>
      </c>
      <c r="H68" s="27" t="n">
        <v>1504795.52</v>
      </c>
      <c r="I68" s="27" t="n">
        <v>52667.84</v>
      </c>
    </row>
    <row r="69" customFormat="false" ht="15" hidden="false" customHeight="false" outlineLevel="0" collapsed="false">
      <c r="A69" s="0" t="s">
        <v>74</v>
      </c>
      <c r="B69" s="0" t="s">
        <v>15</v>
      </c>
      <c r="C69" s="0" t="s">
        <v>64</v>
      </c>
      <c r="D69" s="0" t="s">
        <v>196</v>
      </c>
      <c r="E69" s="0" t="n">
        <v>95</v>
      </c>
      <c r="F69" s="0" t="n">
        <v>76</v>
      </c>
      <c r="G69" s="0" t="n">
        <v>19</v>
      </c>
      <c r="H69" s="27" t="n">
        <v>774138.17</v>
      </c>
      <c r="I69" s="27" t="n">
        <v>15482.76</v>
      </c>
    </row>
    <row r="70" customFormat="false" ht="15" hidden="false" customHeight="false" outlineLevel="0" collapsed="false">
      <c r="A70" s="0" t="s">
        <v>74</v>
      </c>
      <c r="B70" s="0" t="s">
        <v>15</v>
      </c>
      <c r="C70" s="0" t="s">
        <v>66</v>
      </c>
      <c r="D70" s="0" t="s">
        <v>195</v>
      </c>
      <c r="E70" s="0" t="n">
        <v>298</v>
      </c>
      <c r="F70" s="0" t="n">
        <v>227</v>
      </c>
      <c r="G70" s="0" t="n">
        <v>71</v>
      </c>
      <c r="H70" s="27" t="n">
        <v>1245182.19</v>
      </c>
      <c r="I70" s="27" t="n">
        <v>43581.38</v>
      </c>
    </row>
    <row r="71" customFormat="false" ht="15" hidden="false" customHeight="false" outlineLevel="0" collapsed="false">
      <c r="A71" s="0" t="s">
        <v>74</v>
      </c>
      <c r="B71" s="0" t="s">
        <v>15</v>
      </c>
      <c r="C71" s="0" t="s">
        <v>66</v>
      </c>
      <c r="D71" s="0" t="s">
        <v>196</v>
      </c>
      <c r="E71" s="0" t="n">
        <v>56</v>
      </c>
      <c r="F71" s="0" t="n">
        <v>44</v>
      </c>
      <c r="G71" s="0" t="n">
        <v>12</v>
      </c>
      <c r="H71" s="27" t="n">
        <v>540810.56</v>
      </c>
      <c r="I71" s="27" t="n">
        <v>10816.21</v>
      </c>
    </row>
    <row r="72" customFormat="false" ht="15" hidden="false" customHeight="false" outlineLevel="0" collapsed="false">
      <c r="A72" s="0" t="s">
        <v>74</v>
      </c>
      <c r="B72" s="0" t="s">
        <v>15</v>
      </c>
      <c r="C72" s="0" t="s">
        <v>65</v>
      </c>
      <c r="D72" s="0" t="s">
        <v>195</v>
      </c>
      <c r="E72" s="0" t="n">
        <v>187</v>
      </c>
      <c r="F72" s="0" t="n">
        <v>152</v>
      </c>
      <c r="G72" s="0" t="n">
        <v>35</v>
      </c>
      <c r="H72" s="27" t="n">
        <v>740483.05</v>
      </c>
      <c r="I72" s="27" t="n">
        <v>25916.91</v>
      </c>
    </row>
    <row r="73" customFormat="false" ht="15" hidden="false" customHeight="false" outlineLevel="0" collapsed="false">
      <c r="A73" s="0" t="s">
        <v>74</v>
      </c>
      <c r="B73" s="0" t="s">
        <v>15</v>
      </c>
      <c r="C73" s="0" t="s">
        <v>65</v>
      </c>
      <c r="D73" s="0" t="s">
        <v>196</v>
      </c>
      <c r="E73" s="0" t="n">
        <v>41</v>
      </c>
      <c r="F73" s="0" t="n">
        <v>32</v>
      </c>
      <c r="G73" s="0" t="n">
        <v>9</v>
      </c>
      <c r="H73" s="27" t="n">
        <v>385025.04</v>
      </c>
      <c r="I73" s="27" t="n">
        <v>7700.5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2026-10-20T13:54:19Z</dcterms:created>
  <dc:creator>openpyxl</dc:creator>
  <dc:description/>
  <dc:language>en-US</dc:language>
  <cp:lastModifiedBy/>
  <dcterms:modified xsi:type="dcterms:W3CDTF">2026-10-20T16:54:21Z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